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640"/>
  </bookViews>
  <sheets>
    <sheet name="23软工、25软工专升本" sheetId="1" r:id="rId1"/>
  </sheets>
  <definedNames>
    <definedName name="_xlnm._FilterDatabase" localSheetId="0" hidden="1">'23软工、25软工专升本'!$A$1:$G$149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<sst xmlns="http://schemas.openxmlformats.org/spreadsheetml/2006/main" count="598" uniqueCount="314">
  <si>
    <t>序号</t>
  </si>
  <si>
    <t>出题教师</t>
  </si>
  <si>
    <t>题目</t>
  </si>
  <si>
    <t>题目要求（该课题的研究目的、所实现的主要功能、开发技术等）</t>
  </si>
  <si>
    <t>研究方向</t>
  </si>
  <si>
    <t>完成该题目所需学生人数</t>
  </si>
  <si>
    <t>王超杰</t>
  </si>
  <si>
    <t>基于Web的大学生心理健康智能问答系统的设计与实现</t>
  </si>
  <si>
    <t>研究目的：为大学生提供便捷的心理健康测评与咨询预约渠道，辅助辅导员及时发现心理风险。主要功能：前台含心理量表测评、文字情绪识别、测评报告查看、咨询师预约；后台含量表管理、预约排班、测评数据统计与预警名单。开发技术：SpringBoot+Spring AI+Vue.js+ECharts+MySQL。</t>
  </si>
  <si>
    <t>软件开发</t>
  </si>
  <si>
    <t>基于Web的大学生简历智能优化系统的设计与实现</t>
  </si>
  <si>
    <t>研究目的：帮助学生自查简历问题并高效对接就业咨询师，提升咨询针对性。主要功能：含简历上传、简历诊断建议、简历评分；后台、简历诊断规则管理、简历优化提示词。开发技术：SpringBoot+Spring AI+Vue.js+ECharts+MySQL。简历诊断可结合关键词匹配、结构化解析或调用大模型接口实现。</t>
  </si>
  <si>
    <t>基于Web的学业导师智能点评分析系统的设计与实现</t>
  </si>
  <si>
    <t>研究目的：规范学业导师点评流程，量化点评倾向，辅助教务掌握学生指导情况。主要功能：前台含点评提交、点评查看、点评词云与情感倾向展示；后台含导师与学生管理、点评审核、情感分析统计报表。开发技术：SpringBoot+Spring AI+Vue.js+ECharts+MySQL。情感分析可用情感词典或轻量文本分类模型实现。</t>
  </si>
  <si>
    <t>基于Web的大学生智能职业成长系统的设计与实现</t>
  </si>
  <si>
    <t>研究目的：参考"智职星"职业成长平台思路，帮助学生整合教育背景、技能、兴趣沉淀为职业画像，并获取个性化规划建议与能力提升路径，提升职业准备的科学性。主要功能：前台含职业画像填写、AI职业规划建议、成长任务列表与进度打卡、模拟面试问答、能力评估雷达图；后台含知识库与规划规则维护、任务模板管理、面试题库管理、用户数据统计。开发技术：SpringBoot+Spring AI+Vue.js+ECharts+MySQL。规划建议与模拟面试可调用大模型接口生成，能力评估用ECharts可视化呈现。</t>
  </si>
  <si>
    <t>基于Web的大学生请假智能审批系统的设计与实现</t>
  </si>
  <si>
    <t>研究目的：规范请假流程，识别异常请假行为，减轻辅导员审批负担。主要功能：前台含请假申请、进度查看、消息提醒；后台含多级审批、请假规则配置、异常请假识别与统计报表。开发技术：SpringBoot+Spring AI+Vue.js+ECharts+MySQL。异常识别基于请假频次、时长、时间段等规则或统计模型判定。</t>
  </si>
  <si>
    <t>基于Web的高校资产设备智能盘点系统的设计与实现</t>
  </si>
  <si>
    <t>研究目的：提高资产盘点效率，提前预警设备故障，降低资产管理成本。主要功能：前台含资产查询、资产盘点、报修申请；后台含资产台账管理、盘点任务分配、使用数据统计与故障预测提醒。开发技术：SpringBoot+Spring AI+Vue.js+ECharts+MySQL。盘点支持二维码识别，故障预测基于使用年限、报修频次等规则或统计模型实现。</t>
  </si>
  <si>
    <t>基于Web的高考志愿智能填报推荐系统的设计与实现</t>
  </si>
  <si>
    <t>研究目的：为考生提供科学的志愿填报参考，降低信息不对称带来的填报风险。主要功能：前台含院校专业查询、分数定位、冲稳保志愿推荐、志愿表生成；后台含院校专业数据维护、历年分数线管理、推荐规则配置。开发技术：SpringBoot+Spring AI+Vue.js+ECharts+MySQL。推荐基于历年录取数据的规则匹配与排序算法实现。</t>
  </si>
  <si>
    <t>基于Web的大学生奖学金智能评审系统的设计与实现</t>
  </si>
  <si>
    <t>研究目的：规范奖学金申报评审流程，提升材料审核效率与评审公平性。主要功能：前台含申报材料上传、进度查看、结果公示；后台含材料核验、量化评分、异常材料识别、评审结果统计。开发技术：SpringBoot+Spring AI+Vue.js+ECharts+MySQL。材料核验可结合OCR识别与规则校验，评分按预设指标加权计算。</t>
  </si>
  <si>
    <t>基于SpringBoot的竞赛智能系统的设计与实现</t>
  </si>
  <si>
    <t>研究目的：帮助学生匹配适合的学科竞赛，提升参赛效率与获奖率。主要功能：前台含竞赛信息浏览、个人技能标签设置、竞赛推荐、报名管理；后台含竞赛信息维护、报名审核、参赛与获奖数据统计。开发技术：SpringBoot+Spring AI+Vue.js+ECharts+MySQL。推荐基于学生技能标签与竞赛类型的匹配算法实现。</t>
  </si>
  <si>
    <t>基于Web的高校教师工作量智能核算系统的设计与实现</t>
  </si>
  <si>
    <t>研究目的：规范教师工作量统计流程，提高核算效率与准确性。主要功能：前台含工作量填报、核算结果查询；后台含课时与科研数据维护、核算规则配置、异常数据校验、统计报表导出。开发技术：SpringBoot+Spring AI+Vue.js+ECharts+MySQL。核算按预设权重规则自动计算，异常校验基于数据范围规则判定。</t>
  </si>
  <si>
    <t>基于Web的高校教师培训智能推荐系统的设计与实现</t>
  </si>
  <si>
    <t>研究目的：提升教师培训的针对性，助力教师能力发展。主要功能：前台含培训课程浏览、能力测评、个性化课程推荐、报名与学习记录；后台含课程资源管理、能力标签配置、培训数据统计。开发技术：SpringBoot+Spring AI+Vue.js+ECharts+MySQL。推荐基于教师能力标签与课程标签的匹配算法实现。</t>
  </si>
  <si>
    <t>基于微信小程序的校园外卖智能推荐系统的设计与实现</t>
  </si>
  <si>
    <t>研究目的：提升校园外卖点餐体验，帮助商家精准触达学生用户。主要功能：小程序端含商家浏览、个性化菜品推荐、下单支付、订单跟踪；后台含商家与菜品管理、订单管理、销量与推荐数据统计。开发技术：SpringBoot+Spring AI+微信小程序+ECharts+MySQL，推荐基于用户历史订单的协同过滤或标签匹配算法实现。</t>
  </si>
  <si>
    <t>基于Web的企业费用报销智能审批系统的设计与实现</t>
  </si>
  <si>
    <t>研究目的：规范企业报销流程，提升审批效率并降低违规报销风险。主要功能：前台含报销申请、发票上传、进度查看；后台含多级审批流配置、预算管控、发票智能校验、异常报销识别与统计。开发技术：SpringBoot+Spring AI+Vue.js+ECharts+MySQL。发票校验可结合OCR识别，异常识别基于报销金额与频次规则判定。</t>
  </si>
  <si>
    <t>基于Web的高校智能排考系统的设计与实现</t>
  </si>
  <si>
    <t>研究目的：解决高校期末考试和补考考务工作中考场安排、监考分配靠人工、容易出现时间与教师冲突的问题，实现考试安排、监考管理和考务通知的线上化与智能化，提高教务工作效率。主要功能：前台含考试安排查询、考场座位与准考证查看、监考任务查看与确认、调监申请；后台含考试科目与考生名单管理、考场与监考教师管理、智能排考（按考试时间、考场容量和教师空闲情况自动生成方案并预警冲突）、监考工作量统计、补考缓考名单导入、考试通知发布与数据统计。开发技术：SpringBoot+Spring AI+Vue.js+ECharts+MySQL。</t>
  </si>
  <si>
    <t>基于Web的大学生画像智能分析系统的设计与实现</t>
  </si>
  <si>
    <t>研究目的：整合学生学业、参加活动、培训、讲座、竞赛、认证等多维数据，为学生管理与个性化服务提供决策支持。主要功能：前台含个人画像查看、绩点解读等；后台含画像生成与可视化统计以及各个维度的管理。开发技术：SpringBoot+Spring AI+Vue.js+ECharts+MySQL。，画像生成基于规则打标签与统计分析实现。</t>
  </si>
  <si>
    <t>刘昭希</t>
  </si>
  <si>
    <t>基于Spring Boot的模拟贵金属资产管理平台设计与实现</t>
  </si>
  <si>
    <t>本课题旨在设计并实现一个模拟贵金属资产管理平台，使学生综合运用Web应用开发、数据库设计及资产信息管理等相关知识，完成贵金属行情展示、模拟交易及个人资产管理等功能。系统主要包括用户注册与登录、贵金属产品信息展示、模拟买入与卖出、持仓管理、交易记录查询、资产收益统计、个人信息管理以及后台数据管理等功能，可根据实际需求增加价格走势图、资产分析等模块。
开发过程中后端必须采用Spring Boot框架。前端可根据项目实际需要选用Vue、React、HTML/CSS/JavaScript、Element Plus等常用前端技术或框架；数据库可选用MySQL、MariaDB、PostgreSQL等关系型数据库；数据访问层可选用MyBatis、MyBatis-Plus、Spring Data JPA等技术。要求系统功能完整、界面友好、数据库结构合理，并具备基本的数据校验和异常处理能力。</t>
  </si>
  <si>
    <t>基于Vue的宠物领养平台设计与实现</t>
  </si>
  <si>
    <t>题目要求：
本课题旨在设计并实现一个面向宠物领养需求的Web平台，实现宠物信息发布、浏览、申请领养和信息管理等功能，提高宠物领养信息管理的规范性和便利性。系统主要包括用户注册与登录、宠物分类展示、宠物详情查看、条件筛选、领养申请、申请记录查询、收藏管理、宠物信息发布、用户个人中心以及管理员审核与信息维护等功能。
前端必须采用Vue框架进行设计与开发。后端技术可根据实际情况选择Spring Boot、Node.js、Express、Django、Flask等常用Web开发技术；数据库可选择MySQL、MariaDB、PostgreSQL等；UI组件可选用Element Plus、Ant Design Vue、Vant等。要求完成前后端数据交互，实现较完整的宠物领养业务流程，并保证页面具有良好的交互性和可用性。</t>
  </si>
  <si>
    <t>基于Spring Boot与Vue的咖啡点单系统设计与实现</t>
  </si>
  <si>
    <t>本课题旨在设计并实现一个咖啡点单系统，通过信息化方式完成咖啡商品展示、在线点单、订单管理和后台经营管理等业务。系统主要包括用户注册与登录、咖啡分类、商品展示、规格选择、购物车、订单提交、订单状态查询、历史订单、个人中心以及后台商品管理、分类管理、订单管理等功能，可根据项目实际需要增加销量统计、推荐商品等功能。
系统后端必须采用Spring Boot，前端必须采用Vue。数据库可选择MySQL、MariaDB、PostgreSQL等关系型数据库；数据访问层可选择MyBatis、MyBatis-Plus、Spring Data JPA等；前端组件库可选择Element Plus、Ant Design Vue等。要求完成前后端分离式系统设计，保证主要业务流程完整，数据交互正确。</t>
  </si>
  <si>
    <t>基于Vue的家具在线选购平台设计与实现</t>
  </si>
  <si>
    <t>本课题旨在设计并实现一个家具在线选购平台，为用户提供家具产品浏览、筛选、收藏和在线选购等服务，培养学生对电子商务类Web系统进行分析、设计与实现的综合能力。系统主要包括用户注册与登录、家具分类、商品展示、商品详情、条件筛选、关键词搜索、购物车、收藏夹、订单管理、收货信息管理、个人中心以及后台商品和订单管理等功能。
前端必须使用Vue框架。后端可选择Spring Boot、Node.js、Express、Django、Flask等技术；数据库可选择MySQL、MariaDB、PostgreSQL等；界面组件可选择Element Plus、Ant Design Vue等。要求页面布局合理，商品信息展示清晰，实现完整的商品选购和订单处理流程。</t>
  </si>
  <si>
    <t>基于Spring Boot的家装灵感分享平台设计与实现</t>
  </si>
  <si>
    <t>本课题旨在设计并实现一个面向家庭装修场景的灵感分享平台，为用户提供装修案例发布、浏览、交流和收藏等功能。系统主要包括用户注册与登录、家装案例发布、图片展示、案例分类、关键词搜索、点赞、收藏、评论、个人作品管理、用户主页以及后台内容审核和用户管理等功能，可结合实际情况增加热门内容展示或标签分类功能。
后端必须采用Spring Boot框架。前端可选用Vue、React或HTML/CSS/JavaScript等技术；数据库可选择MySQL、MariaDB、PostgreSQL等；数据访问技术可选用MyBatis、MyBatis-Plus、Spring Data JPA等。要求实现基本的社区内容发布与互动流程，保证数据管理规范、页面操作便捷。</t>
  </si>
  <si>
    <t>基于Vue的健身打卡与运动管理系统设计与实现</t>
  </si>
  <si>
    <t>本课题旨在设计并实现一个健身打卡与运动管理系统，帮助用户记录日常运动情况、制定运动计划并查看个人运动数据。系统主要包括用户注册与登录、运动项目管理、健身计划制定、每日打卡、运动记录、训练时长记录、运动数据统计、历史记录查询、个人目标设置和个人中心等功能，可根据项目需要增加运动趋势图或排行榜等模块。
前端必须采用Vue框架。后端可采用Spring Boot、Node.js、Django、Flask等常用技术；数据库可选择MySQL、PostgreSQL、MariaDB等；数据可视化可以选择ECharts、Chart.js等工具。要求实现较完整的运动记录与管理功能，并能够通过图表或数据统计形式展示用户运动情况。</t>
  </si>
  <si>
    <t>基于Spring Boot的校园二手交易平台设计与实现</t>
  </si>
  <si>
    <t>本课题旨在设计并实现一个校园二手交易平台，为校园用户提供闲置物品发布、浏览和交易信息管理功能，提高校园闲置资源的利用效率。系统主要包括用户注册与登录、商品发布、商品分类、商品搜索、商品详情、收藏、留言或沟通、订单管理、商品上下架、个人发布管理以及后台用户和商品管理等功能。
后端必须采用Spring Boot。前端可选择Vue、React或HTML/CSS/JavaScript等技术；数据库可选择MySQL、MariaDB、PostgreSQL等；数据访问层可以选择MyBatis、MyBatis-Plus、Spring Data JPA等。要求能够实现校园二手商品从发布、浏览到交易信息管理的基本业务流程。</t>
  </si>
  <si>
    <t>基于Spring Boot与Vue的在线影院购票系统设计与实现</t>
  </si>
  <si>
    <t>本课题旨在设计并实现一个在线影院购票系统，实现影片信息展示、场次查询、座位选择和订单管理等功能，使学生掌握较复杂业务流程下Web系统的分析与开发方法。系统主要包括用户注册与登录、影片展示、影片分类、影片详情、影院和场次查询、在线选座、生成订单、订单查询、取消订单、个人中心以及后台影片、影厅、场次和订单管理等功能。
系统后端必须采用Spring Boot，前端必须采用Vue。数据库可选择MySQL、MariaDB、PostgreSQL等；持久层可以采用MyBatis、MyBatis-Plus、Spring Data JPA等；前端组件库可以采用Element Plus、Ant Design Vue等。要求重点实现影片、场次、座位和订单之间的数据关联及基本业务逻辑。</t>
  </si>
  <si>
    <t>基于Vue的图书借阅管理系统设计与实现</t>
  </si>
  <si>
    <t>本课题旨在设计并实现一个图书借阅管理系统，实现图书信息、读者信息及借阅业务的信息化管理。系统主要包括用户注册与登录、图书分类、图书查询、图书详情、借阅申请、归还登记、借阅记录、逾期信息、个人中心以及后台图书信息管理、读者管理和借阅管理等功能。
前端必须采用Vue框架。后端可选择Spring Boot、Node.js、Django、Flask等Web开发技术；数据库可选择MySQL、MariaDB、PostgreSQL等关系型数据库；前端组件库可选择Element Plus、Ant Design Vue等。要求合理设计图书、用户和借阅记录等数据表，实现完整的图书借阅业务流程。</t>
  </si>
  <si>
    <t>基于Spring Boot的学生成绩管理系统设计与实现</t>
  </si>
  <si>
    <t>本课题旨在设计并实现一个学生成绩管理系统，实现学生基本信息、课程信息及成绩信息的统一管理，提高成绩录入、查询和统计工作的效率。系统主要包括用户登录、学生信息管理、教师信息管理、课程管理、成绩录入、成绩修改、成绩查询、成绩统计、个人信息管理以及不同角色的权限管理等功能。
后端必须采用Spring Boot框架。前端可选择Vue、React或HTML/CSS/JavaScript等技术；数据库可选用MySQL、MariaDB、PostgreSQL等；数据访问技术可选用MyBatis、MyBatis-Plus、Spring Data JPA等；统计图表可选择ECharts、Chart.js等。要求合理设置用户角色和操作权限，并实现成绩信息的准确管理和查询。</t>
  </si>
  <si>
    <t>基于Vue的个人记账系统设计与实现</t>
  </si>
  <si>
    <t>本课题旨在设计并实现一个个人记账系统，帮助用户记录日常收入和支出信息，并对个人财务数据进行分类管理和统计分析。系统主要包括用户注册与登录、收入记录、支出记录、账目分类、账目查询、日期筛选、预算设置、收支统计、图表分析以及个人中心等功能。
前端必须采用Vue框架，数据库必须采用MySQL。后端可根据实际项目情况选择Spring Boot、Node.js、Express、Django、Flask等技术；图表展示可选用ECharts、Chart.js等数据可视化工具；前端组件库可选用Element Plus、Ant Design Vue等。要求能够准确完成个人收支数据管理，并以合理方式展示用户的收支变化情况。</t>
  </si>
  <si>
    <t>基于Spring Boot的在线考试系统设计与实现</t>
  </si>
  <si>
    <t>本课题旨在设计并实现一个在线考试系统，实现试题管理、试卷生成、在线答题和成绩管理等功能，提高考试组织和成绩管理的信息化水平。系统主要包括用户注册与登录、题库管理、试题分类、试卷管理、考试发布、在线答题、自动评分、成绩查询、考试记录以及后台用户和考试信息管理等功能。
后端必须采用Spring Boot。前端可以选择Vue、React或HTML/CSS/JavaScript等技术；数据库可选择MySQL、MariaDB、PostgreSQL等；持久层可采用MyBatis、MyBatis-Plus、Spring Data JPA等。要求实现完整的考试流程，其中客观题应能够实现自动评分，并合理设计考试、试题、试卷及成绩等数据之间的关系。</t>
  </si>
  <si>
    <t>基于Vue的旅游攻略分享平台设计与实现</t>
  </si>
  <si>
    <t>本课题旨在设计并实现一个旅游攻略分享平台，为用户提供旅游攻略发布、浏览、查询、收藏和互动交流等功能。系统主要包括用户注册与登录、旅游攻略发布、目的地分类、攻略详情、图片展示、关键词搜索、点赞、收藏、评论、个人攻略管理、用户主页以及后台内容审核等功能。
前端必须采用Vue框架。后端可根据项目实际需要选择Spring Boot、Node.js、Django、Flask等技术；数据库可选择MySQL、MariaDB、PostgreSQL等；前端组件库可选择Element Plus、Ant Design Vue等。如涉及地图功能，可根据需求选择合适的地图服务或地图组件。要求实现较完整的旅游内容发布、查询和用户互动功能。</t>
  </si>
  <si>
    <t>基于Spring Boot与Vue的宿舍报修管理系统设计与实现</t>
  </si>
  <si>
    <t>本课题旨在设计并实现一个宿舍报修管理系统，实现学生报修申请、维修任务处理和维修进度查询等业务的信息化管理。系统主要包括用户登录、报修申请、故障类型选择、报修图片上传、报修进度查询、维修结果反馈、历史报修记录、维修人员任务管理以及后台用户、宿舍、报修类型和报修记录管理等功能。
系统后端必须采用Spring Boot，前端必须采用Vue。数据库可选择MySQL、MariaDB、PostgreSQL等关系型数据库；持久层可采用MyBatis、MyBatis-Plus、Spring Data JPA等；前端组件可采用Element Plus、Ant Design Vue等。要求合理设计学生、宿舍、维修人员和报修工单之间的数据关系，并实现报修工单的状态流转。</t>
  </si>
  <si>
    <t>基于Vue的音乐播放器与推荐系统设计与实现</t>
  </si>
  <si>
    <t>本课题旨在设计并实现一个音乐播放器与推荐系统，使用户能够完成音乐浏览、播放、收藏及个性化内容获取等操作，提高学生在前端交互设计、数据管理和推荐功能实现方面的综合开发能力。系统主要包括用户注册与登录、音乐分类、歌曲列表、歌曲搜索、音乐播放与暂停、播放进度控制、歌单管理、收藏管理、播放历史、个人中心以及音乐推荐等功能。
前端必须采用Vue框架。后端可以根据实际情况选择Spring Boot、Node.js、Django、Flask等技术；数据库可以选择MySQL、MariaDB、PostgreSQL等。音乐推荐功能可根据学生能力和项目实际情况选择基于热门度推荐、基于用户历史行为推荐、基于内容推荐或其他适当的推荐方法，不强制限定具体推荐算法。界面组件可使用Element Plus、Ant Design Vue等。要求完成基本音乐播放功能、用户数据管理以及一定形式的音乐推荐功能。</t>
  </si>
  <si>
    <t>安彦霖</t>
  </si>
  <si>
    <t>基于SpringBoot的汽车维修保养预约管理系统的设计与实现</t>
  </si>
  <si>
    <t>【研究目的】针对社区及连锁汽修门店普遍存在的电话预约效率低、维修进度不透明、配件与工时记录混乱等问题，设计并实现一套面向车主与维修工位的在线预约与工单管理系统，提高门店接单效率和车主服务体验。
【主要功能】车主注册与车辆档案管理；在线预约维修保养、工位排班；维修工单创建、进度跟踪与结算；配件库存管理与出入库记录；服务评价与投诉处理；后台数据统计（预约量、营收、常见故障）。
【开发技术】SpringBoot、MyBatis-Plus、MySQL、Vue3、Element Plus、Redis（预约锁定与缓存）。</t>
  </si>
  <si>
    <t>基于Vue的在线视频点播系统的设计与实现</t>
  </si>
  <si>
    <t>【研究目的】面向校园或企业内部的教学、宣传视频分享需求，设计一套支持上传、转码、分类检索与在线播放的视频点播平台，解决视频资源分散、检索困难、缺乏统一管理的问题。
【主要功能】视频上传与格式转码、分类与标签管理、视频检索与推荐、在线播放与弹幕/评论、收藏与观看历史、后台审核与数据统计。
【开发技术】Vue3、Element Plus、SpringBoot、MySQL、FFmpeg（转码）、阿里云OSS或本地文件存储、HLS流媒体播放。</t>
  </si>
  <si>
    <t>基于微信小程序的美容美发预约管理系统的设计与实现</t>
  </si>
  <si>
    <t>【研究目的】面向中小型美容美发门店，解决人工预约排队效率低、发型师档期难以统一管理、顾客到店等待时间长的问题，实现线上预约、排期与会员管理一体化。
【主要功能】门店与项目展示、发型师排班与档期查询、在线预约与到店提醒、会员卡办理与储值消费、服务评价、门店后台预约与营收统计。
【开发技术】微信小程序（原生或uni-app）、SpringBoot、MySQL、微信支付/模拟支付、Redis（档期防冲突）。</t>
  </si>
  <si>
    <t>基于SpringBoot的网上书店系统的设计与实现</t>
  </si>
  <si>
    <t>【研究目的】面向实体书店线上化转型需求，设计一套支持图书浏览、检索、下单与库存管理的网上书店系统，解决线下书店销售渠道单一、库存管理效率低的问题。
【主要功能】图书分类浏览与多条件检索、购物车与订单管理、模拟支付与订单状态跟踪、图书评论与评分、库存预警、后台商品与订单管理、销售数据统计。
【开发技术】SpringBoot、MyBatis-Plus、MySQL、Vue3、Element Plus、Redis（购物车/热销缓存）。</t>
  </si>
  <si>
    <t>基于SpringBoot与Vue的技术博客分享系统的设计与实现</t>
  </si>
  <si>
    <t>【研究目的】面向计算机专业学生与初级开发者，设计一套支持Markdown写作、分类归档与社区互动的技术博客平台，解决个人技术笔记分散、缺乏统一展示与交流渠道的问题。
【主要功能】文章发布（Markdown编辑器）、分类与标签管理、文章检索、评论与点赞、用户关注与消息通知、后台内容审核与统计。
【开发技术】SpringBoot、MySQL、Vue3、Element Plus、Markdown解析（Marked.js/Vditor）、Redis（点赞计数）。</t>
  </si>
  <si>
    <t>基于SpringBoot的在线投票评选系统的设计与实现</t>
  </si>
  <si>
    <t>【研究目的】面向校园歌手大赛、优秀学生评选等活动的评选需求，设计一套支持活动发布、候选人报名与在线投票的系统，解决人工计票效率低、易出现刷票舞弊的问题。
【主要功能】活动发布与报名审核、候选人展示、在线投票与IP/账号限流防刷、实时排名展示、投票结果统计与导出、后台活动与用户管理。
【开发技术】SpringBoot、MySQL、Vue3、Redis（票数计数与防刷限流）、WebSocket（实时排名推送）。</t>
  </si>
  <si>
    <t>基于Vue的校园一卡通消费管理系统的设计与实现</t>
  </si>
  <si>
    <t>【研究目的】针对高校校园一卡通场景，设计一套支持开户挂失、圈存充值与消费记录查询的管理系统，解决人工开户效率低、消费数据统计分散的问题。
【主要功能】卡片开户、挂失与解挂；账户充值与余额管理；食堂/超市等场景消费流水记录；异常消费提醒；商户信息管理；后台统计报表（消费趋势、商户营收）。
【开发技术】Vue3、Element Plus、SpringBoot、MySQL、Redis（余额缓存）、ECharts（统计图表）。</t>
  </si>
  <si>
    <t>基于SpringBoot的户外运动装备租赁系统的设计与实现</t>
  </si>
  <si>
    <t>【研究目的】面向户外装备租赁门店/俱乐部，设计一套支持装备在线选租、押金结算与损坏赔偿管理的系统，解决人工登记效率低、装备状态与库存难以追踪的问题。
【主要功能】装备分类与库存管理、在线租借下单与归还确认、押金冻结与结算、装备损坏/逾期赔偿规则、订单与用户管理、后台租赁数据统计。
【开发技术】SpringBoot、MyBatis-Plus、MySQL、Vue3、Element Plus、Redis（库存锁定防超卖）。</t>
  </si>
  <si>
    <t>基于微信小程序的婚礼策划服务平台的设计与实现</t>
  </si>
  <si>
    <t>【研究目的】面向婚庆策划公司，设计一套支持套餐展示、商家入驻与在线预约咨询的服务平台，解决传统婚庆行业信息展示单一、客户筹备进度难以跟踪的问题。
【主要功能】婚庆套餐与案例展示、商家入驻审核、在线咨询预约、婚礼筹备进度管理（时间轴/待办）、预算与宾客管理、客户评价与后台运营统计。
【开发技术】微信小程序、SpringBoot、MySQL、微信支付/模拟支付、OSS图片存储。</t>
  </si>
  <si>
    <t>基于SpringBoot的社区药店药品销售管理系统的设计与实现</t>
  </si>
  <si>
    <t>【研究目的】面向社区药店，设计一套支持药品档案、进销存与效期管理的销售系统，解决人工台账易出错、药品临期无法及时预警的问题。
【主要功能】药品档案与分类管理、进销存管理（入库/出库/盘点）、效期预警提醒、销售收银与小票打印、会员管理与积分、后台销售与库存统计报表。
【开发技术】SpringBoot、MyBatis-Plus、MySQL、Vue3、Element Plus、定时任务（效期预警）。</t>
  </si>
  <si>
    <t>基于Vue的在线小说阅读平台的设计与实现</t>
  </si>
  <si>
    <t>【研究目的】面向网络文学阅读场景，设计一套支持小说分类检索、章节阅读与作者投稿的平台，解决优质原创内容分散、阅读体验不统一的问题。
【主要功能】小说分类与检索、章节在线阅读（字体/主题切换）、书架管理与阅读进度记录、作者投稿与稿件管理、评论与评分、后台内容审核统计。
【开发技术】Vue3、Element Plus、SpringBoot、MySQL、Redis（阅读进度/热榜缓存）。</t>
  </si>
  <si>
    <t>基于SpringBoot的高校排课管理系统的设计与实现</t>
  </si>
  <si>
    <t>【研究目的】面向高校教务部门与二级学院的排课需求，设计一套支持教师、课程与教室信息管理及自动冲突检测的排课系统，解决人工排课耗时长、易出现时间/教室冲突的问题。
【主要功能】教师、课程、教室基础信息管理、排课规则设置与自动排课、教师/教室/班级时间冲突检测、课表查询与导出（Excel/PDF）、调课申请与审批。
【开发技术】SpringBoot、MyBatis-Plus、MySQL、Vue3、Element Plus、排课算法（回溯/贪心冲突检测）。</t>
  </si>
  <si>
    <t>基于微信小程序的共享充电宝租赁系统的设计与实现</t>
  </si>
  <si>
    <t>【研究目的】面向商场、景区等场景的共享充电宝需求，设计一套支持扫码租借、计费结算与设备管理的小程序系统，解决人工管理效率低、设备状态难以实时监控的问题。
【主要功能】设备与柜机信息管理、扫码租借与归还、计费规则与在线支付、押金管理、订单与异常（未归还/设备故障）处理、后台设备分布与营收统计。
【开发技术】微信小程序、SpringBoot、MySQL、微信支付/模拟支付、Redis（设备状态实时更新）。</t>
  </si>
  <si>
    <t>基于SpringBoot的学术会议论文投稿与评审管理系统的设计与实现</t>
  </si>
  <si>
    <t>【研究目的】面向学院或学会举办的学术会议，设计一套支持论文在线投稿、审稿人分配与评审打分的管理系统，解决人工邮件投稿评审效率低、进度难以追踪的问题。
【主要功能】论文在线投稿与格式校验、审稿人分配与回避规则、在线评审打分与意见反馈、录用结果通知、会议日程与通知公告管理、后台投稿与评审统计。
【开发技术】SpringBoot、MyBatis-Plus、MySQL、Vue3、Element Plus、文件上传与预览（PDF.js）。</t>
  </si>
  <si>
    <t>基于微信小程序的露营地预约管理系统的设计与实现</t>
  </si>
  <si>
    <t>【研究目的】面向青岛周边露营地经营者，设计一套支持营位展示、在线预约与装备加购的小程序系统，解决人工登记营位效率低、旺季预约冲突频发的问题。
【主要功能】营位信息展示与库存管理、在线预约下单（日期/营位选择防冲突）、装备加购与套餐组合、订单与入园核销、游客评价、后台运营数据统计。
【开发技术】微信小程序、SpringBoot、MySQL、微信支付/模拟支付、Redis（营位库存防超卖）。</t>
  </si>
  <si>
    <t>杨双双</t>
  </si>
  <si>
    <t>社区公共设施问题上报与整改闭环平台的设计与实现</t>
  </si>
  <si>
    <t>研究目的：针对社区公共设施问题发现不及时、居民反馈渠道分散、维修任务流转不透明、处理结果难以追踪等问题，设计并实现社区公共设施问题上报与整改闭环平台。平台面向居民、社区管理员和维修人员构建协同处理机制，实现公共设施问题从提交、审核、派单、处理到验收评价的全过程管理，提高社区公共设施维护效率与居民参与度，并为社区治理提供数据支持。
主要功能：
居民端：居民可提交公共设施问题，填写设施类别、所在位置、问题描述等信息，并查询本人问题的处理进度和结果。
管理员端：管理员可对问题进行审核、分类、派单、转派和延期处理，并对问题状态进行统一管理。
维修人员端：维修人员可查看待处理工单，进行接单、更新处理进度、提交处理结果。
验收评价：居民可对已完成的问题进行验收和评价；对于未解决或处理不满意的问题，可申请重新处理。
数据统计：系统按设施类别、问题状态、处理时长、超期数量、维修人员工作量和居民满意度等维度进行统计与可视化展示。
权限与日志管理：实现居民、管理员、维修人员等不同角色的权限控制，并记录关键业务操作日志。
开发技术：
系统采用前后端分离架构开发。后端使用 Spring Boot、MyBatis-Plus、MySQL、Redis 和 JWT 实现业务处理、数据存储、缓存及登录认证；前端使用 Vue 3、Element Plus、Axios 和 ECharts 实现页面交互、后台管理界面及统计图表展示；系统部署可采用 Nginx 和 Linux 环境。</t>
  </si>
  <si>
    <t>小微企业合同履约风险监测平台的设计与实现</t>
  </si>
  <si>
    <t>研究目的：针对小微企业合同信息分散、履约进度难以跟踪、合同到期和回款逾期容易遗漏等问题，设计并实现小微企业合同履约管理与预警平台。系统通过对合同、履约节点、回款信息和催办记录进行统一管理，实现合同履约过程的可视化跟踪、到期与逾期预警以及风险事项闭环处理，提高企业合同管理效率和资金回收管理能力。
主要功能：
用户、角色与权限管理：设置管理员、业务人员、财务人员等角色，并分配相应的系统操作权限。
合同信息管理：实现合同新增、修改、查询、归档、分类管理及附件上传等功能。
履约节点管理：针对交付、验收、开票、付款、回款等节点，设置计划完成时间、实际完成时间、负责人和处理状态。
合同进度跟踪：通过列表、进度条或时间轴展示合同履约状态，包括未开始、履约中、已完成和已逾期等状态。
到期与逾期预警：依据合同期限和履约节点时间，自动识别即将到期、已逾期、回款超期等事项，并生成预警提醒。
回款与催办管理：登记应收金额、实际回款金额、回款日期等信息；针对逾期回款创建催办任务并记录处理过程。
统计分析：按合同类型、履约状态、逾期情况、回款情况和负责人等维度生成统计报表和可视化图表。
操作日志管理：记录合同修改、节点更新、预警处理等关键操作，便于追溯和审查。
开发技术：
系统采用前后端分离架构。后端使用 Spring Boot、MyBatis-Plus、MySQL、Redis 和 JWT 实现业务逻辑、数据存储、缓存及权限认证；前端使用 Vue 3、Element Plus、Axios 和 ECharts 实现页面交互、后台管理界面和数据可视化展示；可使用 Spring Boot 定时任务实现合同到期和履约节点逾期预警。
创新点：
基于合同履约节点与时限规则，构建合同到期、节点逾期和回款超期的自动预警与闭环催办机制，实现合同履约过程的可视化管理。</t>
  </si>
  <si>
    <t>医疗废物分类交接与溯源预警平台的设计与实现</t>
  </si>
  <si>
    <t>研究目的：解决医疗废弃物在分类、暂存和交接过程中记录分散、数量难核对、责任难追溯的问题。
主要功能：登记废弃物来源、类别和数量；生成批次标签；记录科室、暂存点和处置单位之间的交接；对交接超时、数量不符等情况进行规则预警；查询流向并生成统计报表。
开发技术：Spring Boot、Vue 3、MySQL、二维码、定时任务和操作日志。毕业设计使用模拟数据。</t>
  </si>
  <si>
    <t>家用电器售后服务工单管理平台的设计与实现</t>
  </si>
  <si>
    <t>研究目的：提高家电报修、派工、维修和回访的处理效率，让客户能够了解服务进度。
主要功能：产品与保修信息管理、在线报修、故障照片上传、工单派发、上门预约、配件领用、维修记录、客户验收和回访。
开发技术：Spring Boot、Vue 3、MySQL、文件存储、移动端页面和消息提醒</t>
  </si>
  <si>
    <t>旧衣物公益回收与循环流向管理平台的设计与实现</t>
  </si>
  <si>
    <t>研究目的：解决旧衣物回收后分拣过程和最终去向不透明的问题。
主要功能：居民预约回收、回收人员接单、称重和批次登记、衣物分拣、公益捐赠或再利用去向记录、接收方确认、批次追溯和数据统计。
开发技术：Spring Boot、Vue 3、MySQL、二维码、图片上传和地图点位展示。</t>
  </si>
  <si>
    <t>高校校园文印订单与取件服务系统的设计与实现</t>
  </si>
  <si>
    <t>研究目的：针对高校学生打印学习资料、实验报告和毕业论文时存在排队等待、打印要求沟通不清、文件查找困难、订单进度不透明等问题，设计并实现高校校园文印订单与取件服务系统。系统通过线上文件提交、打印参数配置、费用计算、订单排队和取件核销，实现校园文印业务的信息化管理，提高学生提交打印任务的便利性和文印店的订单处理效率，同时减少文件错印、漏印和隐私文件长期留存等问题。
主要功能：系统包含学生端和文印店管理端。学生端实现用户登录、文印店信息查询、打印文件上传、文件格式与大小校验、PDF页数读取、打印范围设置、黑白或彩色选择、单双面设置、纸张规格选择、打印份数设置、装订方式选择、预计费用计算、订单提交、订单进度查询、异常文件重新上传、取消申请、取件码展示、历史订单查询和消息通知等功能。文印店管理端实现打印规格与价格管理、订单接收、文件审核、异常订单退回、打印任务排队、订单状态更新、取件码核销、订单取消处理、营业状态管理、文件保存期限设置和业务数据统计等功能。系统按照待确认、待打印、打印中、待取件和已完成等状态管理订单，并对重复提交、非法状态操作、长时间未取件和超过保存期限的文件进行处理。打印完成或超过规定保存期限后，系统可通过定时任务删除用户文件，降低文件泄露风险。
开发技术：系统采用前后端分离架构。学生端使用Vue 3、Vant和Axios开发移动端页面，文印店管理端使用Vue 3、Element Plus、Axios和ECharts开发电脑端管理页面。后端使用Spring Boot、MyBatis-Plus、MySQL、Redis和JWT实现业务处理、数据存储、缓存及用户认证。使用MinIO保存打印文件，使用Apache PDFBox读取PDF文件页数和基本信息，使用二维码或数字取件码完成订单核销，使用Spring定时任务处理未取件提醒和到期文件清理。系统可部署在Linux和Nginx环境中。毕业设计阶段使用模拟支付和模拟打印流程，不直接控制实体打印设备。</t>
  </si>
  <si>
    <t>新就业形态劳动者驿站服务与权益保障平台的设计与实现</t>
  </si>
  <si>
    <t>研究目的：方便骑手、快递员等户外劳动者查找服务驿站，并为其需求和问题提供反馈渠道。
主要功能：驿站位置及开放时间查询、设施信息展示、服务使用登记、物资申领、问题反映、工作人员处理、政策信息发布和服务统计。
开发技术：Spring Boot、Vue 3、MySQL、地图组件、移动端适配和消息提醒。</t>
  </si>
  <si>
    <t>企业数字资产管理与授权运营平台的设计与实现</t>
  </si>
  <si>
    <t>研究目的：解决企业图片、视频、设计文件和文档分散保存、版本混乱、使用范围不清的问题。本题将“数字资产”限定为企业数字内容文件。
主要功能：资产上传与分类、信息标注、版本管理、授权申请与审批、使用范围和期限管理、到期提醒、下载水印及操作审计。
开发技术：Spring Boot、Vue 3、MySQL、MinIO 对象存储、文件预览和角色权限控制。</t>
  </si>
  <si>
    <t>面向连锁零售企业的库存协同管理系统的设计与实现</t>
  </si>
  <si>
    <t>研究目的：解决总部与门店库存信息不同步、缺货和积压并存、跨店调拨难核对的问题。
主要功能：商品与门店档案、入库出库、补货申请、跨店调拨、到货确认、库存盘点、差异处理、低库存提醒和统计报表。
开发技术：Spring Boot、Vue 3、MySQL、Redis 和定时任务。重点处理并发出库与调拨在途状态。</t>
  </si>
  <si>
    <t>婴幼儿玩具租赁与安全管理系统的设计与实现</t>
  </si>
  <si>
    <t>研究目的：规范玩具租赁、归还、清洁和损坏检查流程，使每件玩具的使用状态有记录可查。
主要功能：玩具档案及适龄信息、租赁预约、出库检查、归还验收、清洁消毒记录、损坏报修、不可租状态控制和逾期提醒。
开发技术：Spring Boot、Vue 3、MySQL、二维码、图片上传和定时任务。</t>
  </si>
  <si>
    <t>中小学校园餐食材批次追溯与异常处置系统的设计与实现</t>
  </si>
  <si>
    <t>研究目的：关联食材供应商、采购验收、入库和餐次使用记录，在发现问题批次时快速确定影响范围。
主要功能：供应商及资质档案、食材批次验收、入库与领用、批次和餐次关联、问题批次锁定、受影响餐次反查、整改记录和追溯报告。
开发技术：Spring Boot、Vue 3、MySQL、二维码、文件存储和规则提醒。</t>
  </si>
  <si>
    <t>社区老年人数字生活帮办服务管理系统的设计与实现</t>
  </si>
  <si>
    <t>研究目的：帮助不熟悉手机和电脑的老年人获得数字生活指导，同时便于社区管理帮办服务。
主要功能：家属代报或工作人员电话登记、帮办人员审核、需求分类、预约派单、时间冲突检查、服务记录、电话回访和服务统计。
开发技术：Spring Boot、Vue 3、MySQL、移动端页面、角色权限控制和预约冲突校验。老人本人不需要操作系统。</t>
  </si>
  <si>
    <t>机器人实验室实验任务与设备协同管理系统的设计与实现</t>
  </si>
  <si>
    <t>研究目的：把实验任务、机器人及配件使用、实验记录和故障维修关联起来，减少设备冲突与配件遗漏。
主要功能：教师发布任务、设备组合配置、设备排期、学生领用、实验过程记录、成套归还检查、故障报修、维修验收和任务归档。
开发技术：Spring Boot、Vue 3、MySQL、二维码设备标签、预约冲突校验和操作日志。</t>
  </si>
  <si>
    <t>中医院中药饮片调剂与代煎流程管理系统的设计与实现</t>
  </si>
  <si>
    <t>研究目的：记录中药饮片从处方接收、人工审核、调剂到代煎和取药的过程，减少漏记及交接错误。
主要功能：模拟处方接收、药师审核记录、饮片批次与库存管理、调剂核对、特殊煎煮要求标记、代煎任务分派、煎药过程记录、成品核对和取药通知。
开发技术：Spring Boot、Vue 3、MySQL、二维码任务标签、定时提醒和操作审计。系统不自动开方或作出临床用药判断。</t>
  </si>
  <si>
    <t>灾后应急救助物资需求申报与调拨发放系统的设计与实现</t>
  </si>
  <si>
    <t>研究目的：帮助灾区安置点、仓库和调度人员共享需求、库存及发放信息，减少重复申报和账物不符。
主要功能：安置点需求申报、需求审核、仓库批次库存、调拨单、出入库交接、安置点签收、居民发放登记、短缺及数量不符处理、物资去向追溯。
开发技术：Spring Boot、Vue 3、MySQL、二维码批次标签、状态流转、操作日志和统计报表。调拨由工作人员决定，系统负责记录和核对。</t>
  </si>
  <si>
    <t>仲聪涵</t>
  </si>
  <si>
    <t>城市AED设备分布查询与急救响应平台的设计与实现</t>
  </si>
  <si>
    <t>设计并实现一套城市AED设备分布查询与急救志愿者响应平台，通过整合设备位置、可用状态与志愿者响应资源，实现院前急救“找设备—取设备—有人送”的数字化协同。具体目标包括缩短AED查找与取用时间、保障设备与耗材处于可用状态、为急救事件复盘与布点优化提供数据依据。
系统包括公众、志愿者、设备管理员和急救调度人员四类角色。公众功能包括：地图查找周边AED、一键求助与路线导航、设备状态与开放时段查看；志愿者功能包括：注册与证书登记、求助接单、响应轨迹上报、设备取用与归还登记；管理员功能包括：设备建档与地图标注、巡检与故障上报、电池与电极片效期预警、事件记录与统计；调度端包括：求助派单与过程跟踪。
开发技术：Spring Boot、Vue 3、MySQL</t>
  </si>
  <si>
    <t>小学生成语积累与趣味答题挑战系统的设计与实现</t>
  </si>
  <si>
    <t>设计并实现一套小学生成语积累与趣味答题挑战系统，通过整合分级词条、闯关挑战与错题复习机制，实现成语学习的游戏化训练。具体目标包括替代机械抄写、形成“学—练—测—复习”闭环、向教师和家长反馈可量化的学习情况。
系统包括学生、教师和家长三类角色。学生功能包括：每日一词、闯关答题（选择、填空、看图猜成语、接龙）、限时挑战与积分勋章、错题本与复习提醒、班级排行榜；教师功能包括：词条库分级维护、班级作业布置、完成情况查看、造句点评、正确率与薄弱点统计；家长功能包括：学习报告查看、时长与进度监督。
开发技术：Spring Boot、Vue 3、MySQL</t>
  </si>
  <si>
    <t>中小学生安全知识学习管理平台的设计与实现</t>
  </si>
  <si>
    <t>设计并实现一套中小学生安全知识学习与应急演练记录管理平台，通过整合课程学习、知识测评与演练过程记录，实现学校安全教育与应急演练的常态化台账管理。具体目标包括避免演练走过场、解决迎检临时补材料、为隐患排查与整改提供跟踪依据。
系统包括学生、班主任、学校安全管理员和教育主管部门四类角色。学生功能包括：安全课程学习、在线测评与成绩查看；班主任功能包括：学习任务落实与完成追踪、班级演练记录填报、人数清点与影像上传；安全管理员功能包括：演练计划编制与疏散路线配置、点位巡检打卡、演练总结与整改项跟踪销号、检查材料一键导出；主管部门功能包括：达标率统计与台账抽查。
开发技术：Spring Boot、Vue 3、MySQL</t>
  </si>
  <si>
    <t>电梯维护保养与故障报修管理系统的设计与实现</t>
  </si>
  <si>
    <t>设计并实现一套电梯维护保养与故障报修管理系统，通过整合维保计划、现场维保记录、故障报修与隐患整改环节，实现电梯维保业务的闭环管理。具体目标包括替代纸质维保记录（避免事后补填）、保证故障报修与隐患整改有人跟踪有人销号、为使用单位与监管部门提供可核查的合规台账。
系统包括维保人员、物业（使用单位）管理员、维保公司调度员和监管人员四类角色。维保人员功能包括：维保计划查看与接单、现场扫码打卡、维保项目逐项记录、配件更换登记、照片上传与电子签名；物业功能包括：电梯台账管理、故障报修与进度跟踪、维保记录确认与评价、年检到期提醒；调度功能包括：工单派发与改派、保养与年检到期提醒、超时预警、维保合同与到期管理、隐患整改下发与复查销号；监管功能包括：维保覆盖率与及时率统计、隐患台账与整改率报表、合规材料导出。
开发技术：Spring Boot、Vue 3、MySQL</t>
  </si>
  <si>
    <t>青少年财商教育与家庭理财知识学习平台的设计与实现</t>
  </si>
  <si>
    <t>设计并实现一套青少年财商教育与家庭理财知识学习平台，通过整合分级课程、家庭场景任务与家庭账本，实现财商启蒙与记账规划习惯的养成。具体目标包括把抽象理财概念转化为可操作任务、促进家长与孩子共同参与、为教学与监督提供数据反馈。
系统包括学生、家长和教师三类角色。学生功能包括：分级课程学习、情景任务（记账、预算、比价、储蓄打卡）、零花钱与储蓄目标管理、互动测验与能力测评、小课题提交；家长功能包括：家庭账本共同录入与核对、任务审核与点评、零花钱发放与奖励、学习报告查看；教师功能包括：课程与任务发布、班级完成情况统计、能力雷达图与合规提示维护。
开发技术：Spring Boot、Vue 3、MySQL</t>
  </si>
  <si>
    <t>中小学英语听说练习与口语测评平台的设计与实现</t>
  </si>
  <si>
    <t>设计并实现一套中小学英语听说练习与口语测评平台，通过整合分级听说素材、跟读朗读任务与自动语音评测，实现口语训练的可量化反馈。具体目标包括解决听说练习缺少语境与反馈、减轻教师逐个听音负担、为班级发音薄弱点诊断提供依据。
系统包括学生、教师和家长三类角色。学生功能包括：素材浏览与跟读朗读录音提交、自动评测报告与逐词标注查看、情景对话角色扮演、难音素专项复习、听力练习与成绩记录、成长曲线；教师功能包括：任务布置、录音回听与人工评分评语、班级统计与薄弱音素分析；家长功能包括：练习完成情况与学习报告查看。
开发技术：Spring Boot、Vue 3、MySQL</t>
  </si>
  <si>
    <t>赵聘</t>
  </si>
  <si>
    <t>高校校企合作企业库与实习岗位发布平台的设计与实现</t>
  </si>
  <si>
    <t>研究目的：针对高校校企合作资源零散、实习岗位发布不规范、学生求职对接效率低的问题，搭建校企合作企业资源库与实习岗位发布平台，方便学校统一管理合作企业，学生精准查看、投递实习岗位，提升校企合作与实习就业管理的信息化水平。
主要功能：企业端：企业入驻申请、企业信息维护、实习岗位发布、简历查看与录用管理；学生端：企业信息浏览、实习岗位检索、岗位投递、申请状态查看；管理员端：企业资质审核、岗位信息审核、企业库管理、实习数据统计与报表导出。
开发技术：SpringBoot +Vue.js +MySQL</t>
  </si>
  <si>
    <t>校外实习申请与过程监管系统的设计与实现</t>
  </si>
  <si>
    <t>研究目的：解决高校传统校外实习线下申请流程繁琐、实习过程难以监管、实习成果汇总统计困难等问题，实现学生实习全流程线上化管理，辅助教师、院校高效监管学生实习情况。
主要功能：学生端：实习信息填报、实习申请提交、实习周记定期提交、实习成果上传、审批进度查询；教师端：实习申请审核、周记批阅、实习问题点评、实习成绩评定；管理员端：实习信息统一管理、实习数据统计、实习档案导出、异常实习情况汇总。（无GPS定位，依托周记完成过程监管）
开发技术：SpringBoot+Vue.js+MySQL</t>
  </si>
  <si>
    <t>乡村特色手工艺品展销推广管理平台的设计与实现</t>
  </si>
  <si>
    <t>研究目的：针对乡村手工艺品线下销售渠道单一、品牌曝光度低、产品信息推广滞后、消费者与手工艺人对接不便的问题，搭建轻量化乡村手工艺品线上展销推广平台，实现手工艺品展示、线上咨询、产销对接、推广运营一体化管理，助力乡村特色文创产品数字化推广与销售引流。
主要功能：手工艺人端：手工艺品分类上架、产品详情编辑、库存数量更新、用户咨询回复、展销订单管理、产品推广数据查看；用户端：特色手工艺品浏览、分类精准检索、在线私信咨询、收藏心仪商品、模拟下单购买、订单进度查询、产品评价留言；管理员端：手工艺人资质审核、上架产品信息审核、平台违规内容管控、用户信息管理、产品展销数据统计、推广成效数据分析与报表导出。（仅实现模拟交易功能，不接入真实支付接口）
开发技术：SpringBoot+Vue.js+MySQL</t>
  </si>
  <si>
    <t>基于Web的小学生作业与学情记录管理系统的设计与实现</t>
  </si>
  <si>
    <t>研究目的：解决小学班级作业布置、提交、批改效率低，学生学情数据零散、难以系统化统计分析的问题，为教师、家长、学生提供作业管理与学情记录数字化工具，精准掌握学生学习情况。
主要功能：教师端：每日作业发布、作业批改、作业评分、错题归档、学情数据录入、班级学情统计分析；学生端：作业查看、线上提交、错题查看、个人学情查询；家长端：孩子作业完成情况查看、学情报告查看；管理员端：师生信息管理、班级信息维护、系统数据统计。
开发技术：SpringBoot+Vue.js+MySQL</t>
  </si>
  <si>
    <t>社区读书会运营与书评分享平台的设计与实现</t>
  </si>
  <si>
    <t>研究目的：解决社区读书会组织松散、书评分享渠道有限、读书会成员跨社群交流困难、线下活动召集效率低的问题，搭建线上读书会运营与书评分享平台。
主要功能：读书会创建与成员管理、读书会活动排期与发布、书评撰写与互评、读书笔记共享、线下活动签到与回顾、读书会数据统计。
开发技术：SpringBoot + Vue.js + MySQL。</t>
  </si>
  <si>
    <t>基于SpringBoot的单元小测与错题管理系统的设计与实现</t>
  </si>
  <si>
    <t>研究目的：解决传统课堂单元小测出题阅卷效率低、错题归集散落、知识点掌握情况难以量化跟踪的问题，搭建轻量化课堂单元测验与错题分析平台，辅助教师即时掌握学生学习薄弱点。
主要功能：教师端单元题库管理、章节/知识点绑定组卷、发布小测、客观题自动批改、主观题人工批改、班级与个人错题归集、知识点掌握情况可视化分析；学生端参与小测、查看成绩与错题、错题本与易错知识点复盘、测验记录查询；管理员端用户与题库管理。
开发技术：SpringBoot + Vue.js + MySQL。</t>
  </si>
  <si>
    <t>高校教材使用反馈与课堂适配跟踪系统的设计与实现</t>
  </si>
  <si>
    <t>研究目的：解决高校教材征订后课堂使用情况难以跟踪、教材质量反馈渠道缺失、不同专业教材课堂适配情况无据可查、教材迭代优化缺乏数据支撑的问题。
主要功能：教师端教材课堂使用反馈、教材适配度评价、教材质量评分；学生端教材使用体验收集与匿名反馈；管理员端教材反馈数据汇总、多专业教材对比分析、教材选型优化建议、反馈报表导出。
开发技术：SpringBoot + Vue.js + MySQL。</t>
  </si>
  <si>
    <t>校园学术报告笔记共享与主题讨论平台的设计与实现</t>
  </si>
  <si>
    <t>研究目的：解决校内学术报告听后无沉淀、报告笔记难以跨学生群体共享、报告主题相关讨论缺乏平台、报告资料分散丢失的问题，搭建学术报告知识沉淀与讨论平台。
主要功能：报告信息发布与归档、报告笔记上传与编辑、笔记分类标签与全文检索、笔记互评与点赞、报告主题讨论区、报告资料附件管理、优质笔记推荐。
开发技术：SpringBoot + Vue.js + MySQL</t>
  </si>
  <si>
    <t>基于SpringBoot的学生违纪处分系统的设计与实现</t>
  </si>
  <si>
    <t>研究目的：解决高校学生违纪记录分散、教育处分流程不透明、处分解除与申诉流程缺少电子化跟踪、处分数据难以按院系/班级汇总的问题，搭建学生违纪登记与教育处分闭环跟踪平台。
主要功能：辅导员端违纪信息登记、处分级别分类（警告/严重警告/记过等）、处分告知与学生电子签名确认、申诉受理与处理、处分到期提醒与解除审批；
学生端个人违纪记录查询、处分告知确认、申诉提交与进度查看；
管理员端处分规则配置、处分审批流转、院系/班级违纪数据汇总、撤销与历史归档。
开发技术：SpringBoot + Vue.js + MySQL。</t>
  </si>
  <si>
    <t>校园问卷调研与信息收集管理平台的设计与实现</t>
  </si>
  <si>
    <t>研究目的：解决校园各类调研问卷线下收集效率低、数据统计整理繁琐的问题，搭建轻量化线上问卷平台，满足校园学情调研、活动调研、信息采集等各类需求，实现问卷快速发布与数据自动分析。
主要功能：发布端：自定义创建问卷、添加单选/多选/填空题型、设置问卷时间与权限、发布问卷；填写端：在线填写问卷、提交调研信息；管理端：问卷信息管理、答卷数据实时统计、数据可视化展示、调研报表导出、无效答卷筛选。
开发技术：SpringBoot+Vue.js+MySQL</t>
  </si>
  <si>
    <t>高校毕业生档案材料线上预审管理系统的设计与实现</t>
  </si>
  <si>
    <t>研究目的：解决高校毕业生档案材料线下审核流程繁琐、材料返工修改效率低、审核记录难以追溯的问题，实现毕业生档案材料线上提交、多级预审、流程追溯的数字化管理，简化档案审核工作。
主要功能：学生端：档案材料分类上传、材料修改重提、审核进度查询、预审结果查看；学院审核端：材料初审、不合格材料驳回、审核意见填写；学校审核端：材料终审、档案信息归档；管理员端：审核流程配置、学生档案数据统计、审核记录追溯、档案报表导出。（仅线上预审管理，不涉及档案实体流转）
开发技术：SpringBoot+Vue.js+MySQL</t>
  </si>
  <si>
    <t>基于SpringBoot的课堂互动与随堂练习系统的设计与实现</t>
  </si>
  <si>
    <t>研究目的：解决高校课堂师生互动不足、学生课堂专注度难以量化、随堂练习反馈滞后、过程性评价数据缺失的问题，搭建课堂互动与随堂练习一体化平台。
主要功能：教师端随堂练习发布（选择/判断/抢答/投票）、学生端实时答题与提交、答题实时统计与正确率分析、抢答排行榜、弹幕式课堂讨论、未到课与迟到统计、课堂过程性评价数据汇总与可视化。
开发技术：SpringBoot + Vue.js + MySQL。</t>
  </si>
  <si>
    <t>校园公共空间借用与活动审批管理系统的设计与实现</t>
  </si>
  <si>
    <t>研究目的：解决高校教室、报告厅、户外场地借用流程繁琐、跨部门审批效率低、场地冲突频发、场地使用情况难以统计的问题，实现场地借用线上化与活动审批规范化。
主要功能：场地信息维护、场地借用在线申请、多级审批流转、场地日历冲突智能检测、借用记录与信用评价、场地使用数据统计与可视化、场地借用规则配置。
开发技术：SpringBoot + Vue.js + MySQL</t>
  </si>
  <si>
    <t>高校学生社团经费报销申请管理系统的设计与实现</t>
  </si>
  <si>
    <t>研究目的：解决高校社团经费报销线下流程繁琐、审批进度不透明、报销台账混乱、经费管理不规范的问题，实现社团经费报销线上申请、多级审批、台账留存的标准化管理。
主要功能：社团端：报销项目填报、报销材料上传、报销申请提交、审批进度查询、历史报销记录查看；团委审核端：报销申请初审、材料核验、审批意见填写；学校财务端：报销终审、经费核销、台账登记；管理员端：报销规则配置、经费数据统计、报销记录归档、报表导出。
开发技术：SpringBoot+Vue.js+MySQL</t>
  </si>
  <si>
    <t>校园图书馆座位预约管理系统的设计与实现</t>
  </si>
  <si>
    <t>研究目的：解决高校图书馆占座乱象、线下座位管理困难、座位使用情况无法统计、预约流程不规范问题，实现座位线上预约、签到核验、违约记录管理。
主要功能：学生端：查看座位剩余情况、座位预约、取消预约、签到签退、查看个人预约与违约记录；图书馆管理员端：座位信息维护、预约时段配置、违约记录处理；系统管理员端：用户管理、预约规则设置、座位使用数据统计、报表导出。
开发技术：SpringBoot+Vue.js+MySQL</t>
  </si>
  <si>
    <t>唐健</t>
  </si>
  <si>
    <t>智能排课与教室资源调度系统的设计与实现</t>
  </si>
  <si>
    <t>研究目的：利用算法自动编排无冲突课表并动态调度教室资源，减少人工排课的重复劳动，提升教室与教师资源的利用效率。
主要功能：前台含个人课表查询、空闲教室查询、临时调课申请、教室预约；后台含教师/班级/课程基础数据维护、自动排课与冲突校验、调课审批、教室占用率统计与可视化。
开发技术：SpringBoot+Vue.js+MySQL。</t>
  </si>
  <si>
    <t>基于微信小程序的校园二手交易系统的设计与实现</t>
  </si>
  <si>
    <t>研究目的：为在校师生提供校内闲置物品的发布与交易渠道，实现可信、便捷的二手物品流转与信用约束。
主要功能：小程序端含商品发布、分类与关键词搜索、下单支付、在线议价、订单与评价；后台含用户与商品审核、违规商品处理、订单纠纷仲裁、交易数据统计。
开发技术：SpringBoot+微信小程序+MySQL+Redis（库存扣减与热点缓存）。</t>
  </si>
  <si>
    <t>高校新生入学一站式服务平台的设计与实现</t>
  </si>
  <si>
    <t>研究目的：整合缴费、选寝、教室与食堂等信息，引导新生按流程一站完成入学各项事务的线上办理。
主要功能：前台含入学待办引导清单、学费缴纳与电子票据、宿舍楼栋与床位选择、课表与教室查询、食堂档口信息与常见问答；后台含缴费对账、楼栋与床位管理、通知推送、办理进度统计。
开发技术：SpringBoot+Vue.js+MySQL+Redis（床位并发预扣减）。</t>
  </si>
  <si>
    <t>健身房管理系统的设计与实现</t>
  </si>
  <si>
    <t>研究目的：实现会员、课程、器械与预约的数字化管理，提升健身房运营效率与会员服务体验。
主要功能：前台含会员注册与续费、课程查询与预约、私教预约、器械使用记录、个人消费账单；后台含会员与会员卡管理、课程与教练排班、器械台账维护、营收与到店数据统计。
开发技术：SpringBoot+Vue.js+MySQL。</t>
  </si>
  <si>
    <t>私厨上门服务预约系统的设计与实现</t>
  </si>
  <si>
    <t>研究目的：搭建私厨与用户之间的线上预约渠道，实现菜单定制、档期预约与上门服务履约的完整闭环。
主要功能：前台含厨师浏览与筛选、菜单定制、在线预约与支付、订单进度跟踪、双向评价；后台含厨师入驻审核、菜品与档期管理、订单派单与结算、投诉处理与经营统计。
开发技术：SpringBoot+Vue.js+MySQL</t>
  </si>
  <si>
    <t>大学生体质测试管理系统的设计与实现</t>
  </si>
  <si>
    <t>研究目的：实现体测数据的在线采集与自动评分评级，支撑免缓测审批与体质状况分析，减轻教务人工统计负担。
主要功能：前台含免缓测申请、体测成绩与评分报告查询、补测预约；后台含体测项目与国标评分规则配置、成绩批量录入与自动评分、等级评定、免缓测审批、班级与院系统计分析。
开发技术：SpringBoot+Vue.js+MySQL。</t>
  </si>
  <si>
    <t>消防隐患在线举报系统的设计与实现</t>
  </si>
  <si>
    <t>研究目的：为师生提供消防隐患的便捷上报渠道，通过派单流转与超时预警推动隐患整改闭环。
主要功能：前台含隐患图文举报与定位、举报进度查询、整改结果评价；后台含隐患分类定级、按网格自动派单、整改流转跟踪、超时预警与统计看板。
开发技术：SpringBoot+Vue.js+MySQL。</t>
  </si>
  <si>
    <t>基于SpringBoot的汽车租赁系统的设计与实现</t>
  </si>
  <si>
    <t>研究目的：实现车辆信息、租车订单与还车结算的线上化管理，支持用户在线选车租车与费用自动核算。
主要功能：前台含车辆检索与详情、在线下单与押金支付、取还车记录、订单与账单查询；后台含车辆与门店管理、订单审核与车辆调度、还车验车与费用结算、营收统计。
开发技术：SpringBoot+Vue.js+MySQL</t>
  </si>
  <si>
    <t>基于Vue的学生竞赛管理系统的设计与实现</t>
  </si>
  <si>
    <t>研究目的：实现竞赛发布、报名组队与成绩录入的全流程线上管理，提升赛事组织效率与成果统计能力。
主要功能：前台含竞赛浏览与报名、组队与作品提交、参赛进度查询、获奖公示；后台含赛事与赛程管理、报名审核、评委分配与成绩录入、获奖统计与报表导出。
开发技术：SpringBoot+Vue.js+MySQL。</t>
  </si>
  <si>
    <t>青岛红色文化研学平台的设计与实现</t>
  </si>
  <si>
    <t>研究目的：以知识图谱组织青岛红色文化资源，为师生提供研学路线推荐、在线预约与研学记录的一体化平台。
主要功能：前台含红色资源检索与在线展陈、研学路线推荐、团队预约报名、行程打卡与成果提交；后台含资源与图谱维护、路线编排、预约审核、学习数据统计。
开发技术：SpringBoot+Vue.js+MySQL</t>
  </si>
  <si>
    <t>校园周边商家商品推荐系统的设计与实现</t>
  </si>
  <si>
    <t>研究目的：为师生提供校园周边商家商品的浏览与个性化推荐服务，帮助周边商家精准触达校内消费需求。
主要功能：前台含商家与商品浏览、个性化推荐、收藏与评价分享、下单与订单查询；后台含商家入驻审核、商品与库存管理、推荐规则配置、订单与经营数据统计。
开发技术：SpringBoot+Vue.js+MySQL</t>
  </si>
  <si>
    <t>自驾游拼团系统的设计与实现</t>
  </si>
  <si>
    <t>研究目的：为自驾出行用户提供线路发布与同行拼团渠道，实现在线招募、行程协商与费用分摊管理。
主要功能：前台含线路发布与检索、报名拼团、行程与费用协商、成员评价；后台含线路与团期审核、报名与成员管理、费用分摊核算、投诉处理与数据统计。
开发技术：SpringBoot+Vue.js+MySQL（地图与位置服务可接入高德/百度API）。</t>
  </si>
  <si>
    <t>基于微信小程序的校园兼职系统的设计与实现</t>
  </si>
  <si>
    <t>研究目的：为在校学生提供校内及周边兼职岗位的发布与申请渠道，实现岗位审核、录用确认与信用评价管理。
主要功能：小程序端含岗位浏览与筛选、简历投递、录用通知、考勤打卡、双向评价；后台含企业与岗位审核、简历与录用管理、投诉处理、信用分与数据统计。
开发技术：SpringBoot+微信小程序+MySQL</t>
  </si>
  <si>
    <t>农产品质量安全检测系统的设计与实现</t>
  </si>
  <si>
    <t>研究目的：实现农产品检测数据录入与批次溯源，支持质量结果查询与不合格预警，保障流通环节质量安全。
主要功能：前台含批次检测结果查询、溯源信息展示、不合格产品举报；后台含样品与批次登记、检测项目与结果录入、合格判定与预警、检测报告导出与统计。
开发技术：SpringBoot+Vue.js+MySQL</t>
  </si>
  <si>
    <t>基于微信小程序的校园反诈宣传与风险提醒系统的设计与实现</t>
  </si>
  <si>
    <t>研究目的：通过案例宣传与知识测评提升学生反诈意识，并对可疑链接与兼职信息进行风险识别与提醒。
主要功能：小程序端含反诈案例浏览、知识测评与成绩记录、可疑链接与信息上报、举报进度查询；后台含案例与题库管理、风险词库与规则配置、举报处置、宣传效果统计。
开发技术：SpringBoot+微信小程序+MySQL</t>
  </si>
  <si>
    <t>马金霞</t>
  </si>
  <si>
    <t>社区共享厨房预约与食材采购管理系统设计与实现</t>
  </si>
  <si>
    <r>
      <rPr>
        <b/>
        <sz val="10"/>
        <rFont val="Microsoft YaHei"/>
        <charset val="134"/>
      </rPr>
      <t>研究目的：</t>
    </r>
    <r>
      <rPr>
        <sz val="10"/>
        <rFont val="Microsoft YaHei"/>
        <charset val="134"/>
      </rPr>
      <t xml:space="preserve">本课题面向社区共享厨房场景，设计并实现一个集厨房预约、食材采购、订单管理于一体的Web管理系统。系统支持社区居民在线预约共享厨房的使用时段，查看厨房设备与卫生状况；同时提供食材采购功能，用户可浏览食材库存、下单购买、管理采购清单；管理员可进行厨房信息维护、食材库存管理、订单处理与统计。系统还包含用户评价与反馈模块，提升社区共享厨房的服务质量。
</t>
    </r>
    <r>
      <rPr>
        <b/>
        <sz val="10"/>
        <rFont val="Microsoft YaHei"/>
        <charset val="134"/>
      </rPr>
      <t>所要实现核心功能</t>
    </r>
    <r>
      <rPr>
        <sz val="10"/>
        <rFont val="Microsoft YaHei"/>
        <charset val="134"/>
      </rPr>
      <t xml:space="preserve">：
1）用户管理：注册、登录、个人信息维护
2）厨房管理：厨房信息发布、设备状态、卫生记录
3）预约管理：时段选择、预约提交、取消与改约
4）食材管理：食材分类、库存查询、采购下单
5）订单管理：订单生成、支付模拟、状态跟踪
6）评价反馈：用户评价、意见反馈、管理员回复
</t>
    </r>
    <r>
      <rPr>
        <b/>
        <sz val="10"/>
        <rFont val="Microsoft YaHei"/>
        <charset val="134"/>
      </rPr>
      <t>开发技术：</t>
    </r>
    <r>
      <rPr>
        <sz val="10"/>
        <rFont val="Microsoft YaHei"/>
        <charset val="134"/>
      </rPr>
      <t xml:space="preserve">
后端：SpringBoot + MyBatis-Plus
前端：Vue.js + Element UI（或Thymeleaf）
数据库：MySQL
开发工具：IDEA / VS Code</t>
    </r>
  </si>
  <si>
    <t>校园快递纸箱回收与绿色积分管理系统设计与实现</t>
  </si>
  <si>
    <r>
      <rPr>
        <b/>
        <sz val="10"/>
        <rFont val="Microsoft YaHei"/>
        <charset val="134"/>
      </rPr>
      <t>研究目的：</t>
    </r>
    <r>
      <rPr>
        <sz val="10"/>
        <rFont val="Microsoft YaHei"/>
        <charset val="134"/>
      </rPr>
      <t xml:space="preserve">针对高校校园快递纸箱废弃量大、回收率低、学生参与积极性不高等问题，设计并实现一个集纸箱回收、积分激励、礼品兑换于一体的Web管理系统。通过积分奖励机制引导学生参与绿色回收，提升校园资源循环利用率，同时为学校后勤或环保社团提供数据统计与决策支持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1）用户管理：学生注册、登录、个人信息维护
2）回收点管理：回收点信息、开放时间、负责人
3）纸箱投递：扫码/人工登记、重量或数量记录
4）积分管理：积分规则设置、积分累计、积分查询
5）礼品兑换：礼品展示、兑换申请、兑换记录
6）统计报表：回收量统计、积分发放统计、班级/学院排名
7）管理员后台：回收点维护、礼品管理、数据导出
</t>
    </r>
    <r>
      <rPr>
        <b/>
        <sz val="10"/>
        <rFont val="Microsoft YaHei"/>
        <charset val="134"/>
      </rPr>
      <t>开发技术</t>
    </r>
    <r>
      <rPr>
        <sz val="10"/>
        <rFont val="Microsoft YaHei"/>
        <charset val="134"/>
      </rPr>
      <t>：
后端：SpringBoot + MyBatis-Plus
前端：Vue.js + Element UI（或 Thymeleaf + Bootstrap）
数据库：MySQL
开发工具：IDEA / VS Code</t>
    </r>
  </si>
  <si>
    <t>洗车店智能预约与会员积分系统设计与实现</t>
  </si>
  <si>
    <r>
      <rPr>
        <b/>
        <sz val="10"/>
        <rFont val="Microsoft YaHei"/>
        <charset val="134"/>
      </rPr>
      <t>研究目的：</t>
    </r>
    <r>
      <rPr>
        <sz val="10"/>
        <rFont val="Microsoft YaHei"/>
        <charset val="134"/>
      </rPr>
      <t xml:space="preserve">改善洗车店预约排队无序、会员管理松散、服务进度不透明等问题，通过智能调度和积分体系提升客户体验。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1）在线预约与智能调度算法
2）会员等级自动升级与积分兑换
3）洗车进度实时通知
4）优惠券发放与核销
5）服务评价与反馈
开发技术：JavaWeb（Servlet + JSP + JDBC）+ MySQL，前端HTML/CSS/JavaScript + Bootstrap，服务器Tomcat，开发工具Eclipse/IDEA。</t>
    </r>
  </si>
  <si>
    <t>理发店预约调度与会员画像分析系统设计与实现</t>
  </si>
  <si>
    <r>
      <rPr>
        <b/>
        <sz val="10"/>
        <rFont val="Microsoft YaHei"/>
        <charset val="134"/>
      </rPr>
      <t>研究目的：</t>
    </r>
    <r>
      <rPr>
        <sz val="10"/>
        <rFont val="Microsoft YaHei"/>
        <charset val="134"/>
      </rPr>
      <t xml:space="preserve">针对理发店预约冲突、发型师排班不合理、会员流失等问题，构建预约调度与会员画像分析系统，提升服务效率和客户黏性。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1）发型师排班与预约冲突检测
2）会员消费行为分析
3）个性化发型推荐
4）积分商城与优惠活动
5）客户满意度跟踪
</t>
    </r>
    <r>
      <rPr>
        <b/>
        <sz val="10"/>
        <rFont val="Microsoft YaHei"/>
        <charset val="134"/>
      </rPr>
      <t>开发技术：</t>
    </r>
    <r>
      <rPr>
        <sz val="10"/>
        <rFont val="Microsoft YaHei"/>
        <charset val="134"/>
      </rPr>
      <t>SSM（Spring + SpringMVC + MyBatis）+ JSP + MySQL，前端使用Bootstrap + ECharts，服务器Tomcat。</t>
    </r>
  </si>
  <si>
    <t>婚庆公司项目全流程管理与资源调度系统设计与实现</t>
  </si>
  <si>
    <r>
      <rPr>
        <b/>
        <sz val="10"/>
        <rFont val="Microsoft YaHei"/>
        <charset val="134"/>
      </rPr>
      <t>研究目的</t>
    </r>
    <r>
      <rPr>
        <sz val="10"/>
        <rFont val="Microsoft YaHei"/>
        <charset val="134"/>
      </rPr>
      <t xml:space="preserve">：婚庆项目涉及多方协作、资源调度复杂，传统管理方式效率低。本系统旨在实现项目全流程跟踪、资源优化调度和成本控制。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1）项目进度与里程碑管理
2）供应商协同与资源冲突检测
3）预算与成本核算
4）客户满意度评价
5）项目文档与合同管理
</t>
    </r>
    <r>
      <rPr>
        <b/>
        <sz val="10"/>
        <rFont val="Microsoft YaHei"/>
        <charset val="134"/>
      </rPr>
      <t>开发技术</t>
    </r>
    <r>
      <rPr>
        <sz val="10"/>
        <rFont val="Microsoft YaHei"/>
        <charset val="134"/>
      </rPr>
      <t>：SpringBoot + MyBatis + MySQL，前端Vue.js + Element UI + ECharts，可集成Redis，开发工具IDEA。</t>
    </r>
  </si>
  <si>
    <t>舞蹈培训机构学员成长与课程推荐系统设计与实现</t>
  </si>
  <si>
    <r>
      <rPr>
        <b/>
        <sz val="10"/>
        <rFont val="Microsoft YaHei"/>
        <charset val="134"/>
      </rPr>
      <t>研究目的：</t>
    </r>
    <r>
      <rPr>
        <sz val="10"/>
        <rFont val="Microsoft YaHei"/>
        <charset val="134"/>
      </rPr>
      <t xml:space="preserve">舞蹈培训机构学员多、课程杂，缺乏成长跟踪和个性化推荐。本系统旨在记录学员成长轨迹，推荐合适课程，提升教学服务质量。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1）学员考勤与学习进度跟踪
2）基于兴趣与水平的课程推荐
3）教师评价与教学反馈
4）比赛报名与成绩管理
5）成长档案与数据统计
</t>
    </r>
    <r>
      <rPr>
        <b/>
        <sz val="10"/>
        <rFont val="Microsoft YaHei"/>
        <charset val="134"/>
      </rPr>
      <t>开发技术</t>
    </r>
    <r>
      <rPr>
        <sz val="10"/>
        <rFont val="Microsoft YaHei"/>
        <charset val="134"/>
      </rPr>
      <t>：SSM + JSP + MySQL，前端Bootstrap + ECharts，服务器Tomcat。</t>
    </r>
  </si>
  <si>
    <t>药店进销存与处方药审核管理系统设计与实现</t>
  </si>
  <si>
    <r>
      <rPr>
        <b/>
        <sz val="10"/>
        <rFont val="Microsoft YaHei"/>
        <charset val="134"/>
      </rPr>
      <t>研究目的：</t>
    </r>
    <r>
      <rPr>
        <sz val="10"/>
        <rFont val="Microsoft YaHei"/>
        <charset val="134"/>
      </rPr>
      <t xml:space="preserve">药店药品品类多、有效期管理严格，处方药需审核。本系统旨在实现药品进销存、处方审核、有效期预警和医保对接模拟。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1）药品进销存与库存周转分析
2）处方药审核流程
3）药品有效期预警
4）医保对接模拟与用药提醒
5）销售数据分析
</t>
    </r>
    <r>
      <rPr>
        <b/>
        <sz val="10"/>
        <rFont val="Microsoft YaHei"/>
        <charset val="134"/>
      </rPr>
      <t>开发技术</t>
    </r>
    <r>
      <rPr>
        <sz val="10"/>
        <rFont val="Microsoft YaHei"/>
        <charset val="134"/>
      </rPr>
      <t>：SpringBoot + MyBatis-Plus + MySQL，前端Thymeleaf + Bootstrap + ECharts，可集成Redis，开发工具IDEA。</t>
    </r>
  </si>
  <si>
    <t>打印店订单智能调度与文件管理系统设计与实现</t>
  </si>
  <si>
    <r>
      <rPr>
        <b/>
        <sz val="10"/>
        <rFont val="Microsoft YaHei"/>
        <charset val="134"/>
      </rPr>
      <t>研究目的：</t>
    </r>
    <r>
      <rPr>
        <sz val="10"/>
        <rFont val="Microsoft YaHei"/>
        <charset val="134"/>
      </rPr>
      <t xml:space="preserve">打印店订单杂乱、文件管理不便、价格计算繁琐。本系统旨在实现在线文件预览、打印队列调度、自动计价和文件加密存储。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1）文件在线上传与预览
2）打印队列智能调度
3）价格自动计算
4）订单状态推送
5）文件加密存储与权限管理
</t>
    </r>
    <r>
      <rPr>
        <b/>
        <sz val="10"/>
        <rFont val="Microsoft YaHei"/>
        <charset val="134"/>
      </rPr>
      <t>开发技术：</t>
    </r>
    <r>
      <rPr>
        <sz val="10"/>
        <rFont val="Microsoft YaHei"/>
        <charset val="134"/>
      </rPr>
      <t>JavaWeb（Servlet + JSP + JDBC）+ MySQL，前端HTML/CSS/JavaScript + Bootstrap，服务器Tomcat。</t>
    </r>
  </si>
  <si>
    <t>幼儿园智能接送与安全考勤系统设计与实现</t>
  </si>
  <si>
    <r>
      <rPr>
        <b/>
        <sz val="10"/>
        <rFont val="Microsoft YaHei"/>
        <charset val="134"/>
      </rPr>
      <t>研究目的</t>
    </r>
    <r>
      <rPr>
        <sz val="10"/>
        <rFont val="Microsoft YaHei"/>
        <charset val="134"/>
      </rPr>
      <t xml:space="preserve">：幼儿园接送安全责任重大，传统登记方式效率低。本系统旨在通过人脸识别模拟、家长授权和异常预警，提升接送安全与考勤管理。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1）人脸识别模拟接送验证
2）家长授权与接送人管理
3）异常接送预警
4）考勤统计与报表
5）班级成长档案
</t>
    </r>
    <r>
      <rPr>
        <b/>
        <sz val="10"/>
        <rFont val="Microsoft YaHei"/>
        <charset val="134"/>
      </rPr>
      <t>开发技术：</t>
    </r>
    <r>
      <rPr>
        <sz val="10"/>
        <rFont val="Microsoft YaHei"/>
        <charset val="134"/>
      </rPr>
      <t>SSM + JSP + MySQL，前端Bootstrap + ECharts，可集成百度AI人脸识别接口（模拟），服务器Tomcat。</t>
    </r>
  </si>
  <si>
    <t>奶茶店智能点单与会员营销系统设计与实现</t>
  </si>
  <si>
    <r>
      <rPr>
        <b/>
        <sz val="10"/>
        <rFont val="Microsoft YaHei"/>
        <charset val="134"/>
      </rPr>
      <t>研究目的：</t>
    </r>
    <r>
      <rPr>
        <sz val="10"/>
        <rFont val="Microsoft YaHei"/>
        <charset val="134"/>
      </rPr>
      <t xml:space="preserve">奶茶店竞争激烈，需通过智能推荐和会员营销提升复购率。本系统旨在实现个性化点单推荐、优惠券组合、高峰期预测和库存联动。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1）个性化饮品推荐
2）优惠券组合与发放
3）订单高峰期预测
4）库存联动与预警
5）会员社交分享与积分
</t>
    </r>
    <r>
      <rPr>
        <b/>
        <sz val="10"/>
        <rFont val="Microsoft YaHei"/>
        <charset val="134"/>
      </rPr>
      <t>开发技术</t>
    </r>
    <r>
      <rPr>
        <sz val="10"/>
        <rFont val="Microsoft YaHei"/>
        <charset val="134"/>
      </rPr>
      <t>：SpringBoot + MyBatis + MySQL，前端Vue.js + Element UI + ECharts，可集成Redis，开发工具IDEA。</t>
    </r>
  </si>
  <si>
    <t>书店库存与销售数据分析系统设计与实现</t>
  </si>
  <si>
    <r>
      <rPr>
        <b/>
        <sz val="10"/>
        <rFont val="Microsoft YaHei"/>
        <charset val="134"/>
      </rPr>
      <t>研究目的：</t>
    </r>
    <r>
      <rPr>
        <sz val="10"/>
        <rFont val="Microsoft YaHei"/>
        <charset val="134"/>
      </rPr>
      <t xml:space="preserve">书店图书种类多，销售数据分散。本系统旨在实现库存预警、图书推荐、销售趋势分析和会员积分管理，辅助经营决策。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1）图书推荐与关联分析
2）销售趋势与库存预警
3）会员积分与等级
4）作者与出版社分析
5）数据可视化报表
</t>
    </r>
    <r>
      <rPr>
        <b/>
        <sz val="10"/>
        <rFont val="Microsoft YaHei"/>
        <charset val="134"/>
      </rPr>
      <t>开发技术：</t>
    </r>
    <r>
      <rPr>
        <sz val="10"/>
        <rFont val="Microsoft YaHei"/>
        <charset val="134"/>
      </rPr>
      <t>SSM + JSP + MySQL，前端Bootstrap + ECharts，服务器Tomcat。</t>
    </r>
  </si>
  <si>
    <t>乐器租赁与销售全周期管理系统设计与实现</t>
  </si>
  <si>
    <r>
      <rPr>
        <b/>
        <sz val="10"/>
        <rFont val="Microsoft YaHei"/>
        <charset val="134"/>
      </rPr>
      <t>研究目的</t>
    </r>
    <r>
      <rPr>
        <sz val="10"/>
        <rFont val="Microsoft YaHei"/>
        <charset val="134"/>
      </rPr>
      <t xml:space="preserve">：乐器租赁涉及押金、维护、到期提醒等复杂环节。本系统旨在实现租赁与销售全周期管理，提升乐器利用率和客户满意度。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1）租赁到期提醒与押金管理
2）乐器维护记录
3）销售与租赁转化分析
4）乐器状态追踪
5）客户信用评估
</t>
    </r>
    <r>
      <rPr>
        <b/>
        <sz val="10"/>
        <rFont val="Microsoft YaHei"/>
        <charset val="134"/>
      </rPr>
      <t>开发技术：</t>
    </r>
    <r>
      <rPr>
        <sz val="10"/>
        <rFont val="Microsoft YaHei"/>
        <charset val="134"/>
      </rPr>
      <t>JavaWeb（Servlet + JSP + JDBC）+ MySQL，前端HTML/CSS/JavaScript + Bootstrap，服务器Tomcat。</t>
    </r>
  </si>
  <si>
    <t>咖啡馆点单与会员社交化营销系统设计与实现</t>
  </si>
  <si>
    <r>
      <rPr>
        <b/>
        <sz val="10"/>
        <rFont val="Microsoft YaHei"/>
        <charset val="134"/>
      </rPr>
      <t>研究目的</t>
    </r>
    <r>
      <rPr>
        <sz val="10"/>
        <rFont val="Microsoft YaHei"/>
        <charset val="134"/>
      </rPr>
      <t xml:space="preserve">：咖啡馆需要提升客户黏性和社交传播。本系统旨在通过社交分享、积分兑换、口味偏好推荐和排队叫号，打造社交化营销体系。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1）社交分享与邀请奖励
2）积分兑换与会员成长体系
3）口味偏好推荐
4）排队叫号与取餐提醒
5）营销活动管理
</t>
    </r>
    <r>
      <rPr>
        <b/>
        <sz val="10"/>
        <rFont val="Microsoft YaHei"/>
        <charset val="134"/>
      </rPr>
      <t>开发技术</t>
    </r>
    <r>
      <rPr>
        <sz val="10"/>
        <rFont val="Microsoft YaHei"/>
        <charset val="134"/>
      </rPr>
      <t>：SSM + JSP + MySQL，前端Bootstrap + ECharts，可集成微信分享接口（模拟），服务器Tomcat。</t>
    </r>
  </si>
  <si>
    <t>装修公司客户关系与项目进度管理系统设计与实现</t>
  </si>
  <si>
    <r>
      <rPr>
        <b/>
        <sz val="10"/>
        <rFont val="Microsoft YaHei"/>
        <charset val="134"/>
      </rPr>
      <t>研究目的</t>
    </r>
    <r>
      <rPr>
        <sz val="10"/>
        <rFont val="Microsoft YaHei"/>
        <charset val="134"/>
      </rPr>
      <t xml:space="preserve">：装修公司项目周期长、涉及材料与工人调度复杂。本系统旨在实现客户关系管理、项目里程碑跟踪、材料管理和成本核算。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1）项目里程碑与进度管理
2）材料采购与库存管理
3）工人调度与考勤
4）成本核算与利润分析
5）客户回访与满意度分析
</t>
    </r>
    <r>
      <rPr>
        <b/>
        <sz val="10"/>
        <rFont val="Microsoft YaHei"/>
        <charset val="134"/>
      </rPr>
      <t>开发技术</t>
    </r>
    <r>
      <rPr>
        <sz val="10"/>
        <rFont val="Microsoft YaHei"/>
        <charset val="134"/>
      </rPr>
      <t>：SpringBoot + MyBatis + MySQL，前端Vue.js + Element UI + ECharts，可集成Redis，开发工具IDEA。</t>
    </r>
  </si>
  <si>
    <t>宠物美容店预约与宠物健康档案管理系统设计与实现</t>
  </si>
  <si>
    <r>
      <rPr>
        <b/>
        <sz val="10"/>
        <rFont val="Microsoft YaHei"/>
        <charset val="134"/>
      </rPr>
      <t>研究目的：</t>
    </r>
    <r>
      <rPr>
        <sz val="10"/>
        <rFont val="Microsoft YaHei"/>
        <charset val="134"/>
      </rPr>
      <t xml:space="preserve">宠物美容店需要管理宠物健康档案、预约服务和会员卡。本系统旨在实现宠物健康记录、美容师排班、预约提醒和套餐推荐。
</t>
    </r>
    <r>
      <rPr>
        <b/>
        <sz val="10"/>
        <rFont val="Microsoft YaHei"/>
        <charset val="134"/>
      </rPr>
      <t>所实现的核心功能：</t>
    </r>
    <r>
      <rPr>
        <sz val="10"/>
        <rFont val="Microsoft YaHei"/>
        <charset val="134"/>
      </rPr>
      <t xml:space="preserve">
1）宠物健康档案管理
2）美容师排班与预约提醒
3）会员卡与套餐推荐
4）服务评价与反馈
5）消费数据分析
</t>
    </r>
    <r>
      <rPr>
        <b/>
        <sz val="10"/>
        <rFont val="Microsoft YaHei"/>
        <charset val="134"/>
      </rPr>
      <t>开发技术：</t>
    </r>
    <r>
      <rPr>
        <sz val="10"/>
        <rFont val="Microsoft YaHei"/>
        <charset val="134"/>
      </rPr>
      <t>SSM + JSP + MySQL，前端Bootstrap + ECharts，服务器Tomcat。</t>
    </r>
  </si>
  <si>
    <t>杨浩</t>
  </si>
  <si>
    <t>产教融合实习实训与学分互认管理平台设计与实现</t>
  </si>
  <si>
    <r>
      <rPr>
        <b/>
        <sz val="10"/>
        <rFont val="Microsoft YaHei"/>
        <charset val="134"/>
      </rPr>
      <t>研究目的</t>
    </r>
    <r>
      <rPr>
        <sz val="10"/>
        <rFont val="Microsoft YaHei"/>
        <charset val="134"/>
      </rPr>
      <t xml:space="preserve">
产教融合推进中，学校与企业各有一套管理逻辑：学校要管学分、管安全、管培养目标达成，企业要管岗位、管带教、管生产秩序；学生夹在中间要填两套材料，最后实习过程基本没有真实记录，学分认定靠事后补一份证明。本课题研究实习过程的多方协同记录与学分换算建模方法，把基地与导师、岗位发布、双选录取、过程记录、双方评价、学分认定串成一条链路。研究重点是企业评价与学校评分两套口径的对齐方式（企业看重出勤与执行力，学校看重专业能力成长，如何映射到同一套评价体系），以及过程记录向学分换算的规则设计。
</t>
    </r>
    <r>
      <rPr>
        <b/>
        <sz val="10"/>
        <rFont val="Microsoft YaHei"/>
        <charset val="134"/>
      </rPr>
      <t>需要实现的主要功能</t>
    </r>
    <r>
      <rPr>
        <sz val="10"/>
        <rFont val="Microsoft YaHei"/>
        <charset val="134"/>
      </rPr>
      <t xml:space="preserve">
基地与企业导师：基地档案、企业导师信息与资质、合作协议与有效期
岗位发布与申请：企业发布实习岗位（岗位要求 / 人数 / 时间 / 待遇）、学生申请、企业双选录取
过程记录：周报提交、打卡或工时登记、企业导师批阅、学校指导教师检查
任务与考核：实习任务书、阶段考核记录、企业评价表与学校评分表
安全与协议：三方协议登记、安全告知与承诺书上传、保险信息登记
学分认定：学分换算规则配置、认定申请与审批、认定台账
双向评价：学生评企业、企业评学生、学校综合评价、评价结果使用规则
统计报表：实习达成率、企业接收量与留用率、学分认定统计、专业分布分析
</t>
    </r>
    <r>
      <rPr>
        <b/>
        <sz val="10"/>
        <rFont val="Microsoft YaHei"/>
        <charset val="134"/>
      </rPr>
      <t>涉及的主要技术</t>
    </r>
    <r>
      <rPr>
        <sz val="10"/>
        <rFont val="Microsoft YaHei"/>
        <charset val="134"/>
      </rPr>
      <t xml:space="preserve">
多角色协同：学生 / 企业导师 / 学校导师 / 教务的权限隔离与流程衔接
口径映射：双套评价指标的对齐与加权换算规则
规则配置：学分换算规则与认定条件的配置化表达
状态流转：实习过程状态（申请 / 录取 / 进行中 / 完成 / 认定）与审批链
后端：主流 Web 框架 + 文件上传（周报 / 协议 / 承诺书）+ 报表导出
研究点：校企双方评价口径的对齐方法；过程记录到学分换算的规则可解释性</t>
    </r>
  </si>
  <si>
    <t>生成式AI应用上线评审与变更管理平台设计与实现</t>
  </si>
  <si>
    <r>
      <rPr>
        <b/>
        <sz val="10"/>
        <rFont val="Microsoft YaHei"/>
        <charset val="134"/>
      </rPr>
      <t>研究目的</t>
    </r>
    <r>
      <rPr>
        <sz val="10"/>
        <rFont val="Microsoft YaHei"/>
        <charset val="134"/>
      </rPr>
      <t xml:space="preserve">
一个 AI 功能从想法到上线，中间要过好几道关：用的什么模型、数据从哪来、会不会输出不当内容、面向哪些用户开放、出了问题谁负责。更麻烦的是上线之后还会变——换了模型版本、放开了新的使用范围、改了核心提示词，这些变更按理都要重新评估，但实际上经常"改了就上线"。等出事回头查"当时谁批的、批的是什么版本"，材料已经散了。本课题研究AI 应用上线与变更的评审流程建模，把每个应用、每个版本、每次评审、每次变更都留成记录。研究重点是评审流程的可配置（不同风险等级走不同的评审路径）与"变更触发再评审"的规则表达。
</t>
    </r>
    <r>
      <rPr>
        <b/>
        <sz val="10"/>
        <rFont val="Microsoft YaHei"/>
        <charset val="134"/>
      </rPr>
      <t>需要实现的主要功能</t>
    </r>
    <r>
      <rPr>
        <sz val="10"/>
        <rFont val="Microsoft YaHei"/>
        <charset val="134"/>
      </rPr>
      <t xml:space="preserve">
应用登记：应用名称、业务场景、使用模型与版本、数据来源类型、面向用户范围（内部 / 对外）、责任人
风险自评：自评表模板与打分记录、风险等级判定（低 / 中 / 高）
上线评审流程：按风险等级触发不同评审路径、多角色会签（安全 / 内容 / 数据合规 / 业务）
材料清单与缺件提醒：每个评审节点需提交的材料项、缺件自动提醒
变更申请：模型版本更换、能力开放范围调整、提示词重大修改、数据来源变更
再评审触发：变更类型与是否需再评审的对应规则、再评审记录与原版本关联
版本台账：版本号、生效时间、上线人、回滚记录与回滚原因
下线与归档：暂停/下线流程、影响范围登记、全部评审记录归档与按条件检索
</t>
    </r>
    <r>
      <rPr>
        <b/>
        <sz val="10"/>
        <rFont val="Microsoft YaHei"/>
        <charset val="134"/>
      </rPr>
      <t>涉及的主要技术</t>
    </r>
    <r>
      <rPr>
        <sz val="10"/>
        <rFont val="Microsoft YaHei"/>
        <charset val="134"/>
      </rPr>
      <t xml:space="preserve">
业务建模：应用—版本—评审—变更四层数据模型与状态流转
工作流：可配置的多节点审批（自研状态机或 Flowable/Activiti 等工作流框架）
后端：主流 Web 框架 + 关系数据库 + 文件存储 + RBAC（产品 / 安全 / 合规 / 业务审批人）
前端：审批流程图与进度、材料提交区、版本对比视图
研究点：评审路径的可配置化设计；"什么变更需要重新评审"的规则表达与可审计性</t>
    </r>
  </si>
  <si>
    <t>智能会议纪要与待办跟进管理系统设计与实现</t>
  </si>
  <si>
    <r>
      <rPr>
        <b/>
        <sz val="10"/>
        <rFont val="Microsoft YaHei"/>
        <charset val="134"/>
      </rPr>
      <t>研究目的</t>
    </r>
    <r>
      <rPr>
        <sz val="10"/>
        <rFont val="Microsoft YaHei"/>
        <charset val="134"/>
      </rPr>
      <t xml:space="preserve">
多数团队的会议管理是：会上有人记，会后发一份纪要，然后就沉到群里没人看；下次开会才发现上次说好的事没做，也说不清当时是谁答应的、什么时候交。中间还夹着"临时说的事没写进去""改了几版纪要到底以哪版为准"。本课题把会议做成"录音 → 纪要 → 待办 → 跟进 → 下次会议回顾"的闭环，研究重点是从发言到待办的抽取与指派规则，以及待办在例会之间的承接机制。
</t>
    </r>
    <r>
      <rPr>
        <b/>
        <sz val="10"/>
        <rFont val="Microsoft YaHei"/>
        <charset val="134"/>
      </rPr>
      <t>需要实现的主要功能</t>
    </r>
    <r>
      <rPr>
        <sz val="10"/>
        <rFont val="Microsoft YaHei"/>
        <charset val="134"/>
      </rPr>
      <t xml:space="preserve">
会议管理：会议登记（时间、参与人、议题）、周期例会设置、会议材料附件
录音与转写：录音上传、转写文本、发言人与时间点标注、关键片段标记
纪要编辑：纪要模板、分议题整理、结论与决议、版本与定稿
待办抽取与指派：从纪要提取待办、指定负责人与截止时间、确认与驳回
待办跟进：状态（待开始 / 进行中 / 已完成 / 延期）、进展更新、催办提醒
例会回顾：上次会议待办完成情况自动带出、未完成事项转入本次会议
通知与提醒：纪要发送范围、待办到期提醒、逾期上浮
报表：待办完成率、逾期排行、会议频次与时长、议题闭环情况
</t>
    </r>
    <r>
      <rPr>
        <b/>
        <sz val="10"/>
        <rFont val="Microsoft YaHei"/>
        <charset val="134"/>
      </rPr>
      <t>涉及的主要技术</t>
    </r>
    <r>
      <rPr>
        <sz val="10"/>
        <rFont val="Microsoft YaHei"/>
        <charset val="134"/>
      </rPr>
      <t xml:space="preserve">
业务建模：会议—纪要版本—待办—跟进的状态与关联模型
数据处理：文本抽取（可用规则加关键词，或接大模型 API）
后端：主流 Web 框架 + 关系数据库 + 文件存储 + 定时任务（提醒）+ RBAC（组织者 / 参与人 / 负责人）
前端：会议列表与纪要编辑页、待办看板、例会回顾页
可选加分项：接入语音转写与大模型 API 自动抽取待办；不接则人工录入
研究点：发言到待办的抽取与指派规则；待办在例会之间的承接机制</t>
    </r>
  </si>
  <si>
    <t>工业机器人产线保养与故障维修工单管理平台设计与实现</t>
  </si>
  <si>
    <r>
      <rPr>
        <b/>
        <sz val="10"/>
        <rFont val="Microsoft YaHei"/>
        <charset val="134"/>
      </rPr>
      <t>研究目的</t>
    </r>
    <r>
      <rPr>
        <sz val="10"/>
        <rFont val="Microsoft YaHei"/>
        <charset val="134"/>
      </rPr>
      <t xml:space="preserve">
工业机器人是资产，也是耗材。厂家要求按运行小时数定期换油、换电池、检查减速机，漏了保养就容易出故障；一旦停机，产线整条停，损失按小时算。但中小制造企业的实际做法往往是：保养计划写在设备说明书里没人看，故障时班组长在微信群里发一句"三号线机器人报警了"，维修工赶过去、修完就走，换了什么备件、停机多久，谁也不记录。等到年底算设备可用率，数据一个都拿不出来。本课题研究按运行小时数驱动的保养计划生成与维修工单闭环管理，把每台机器人做成一份完整的设备履历。研究重点是保养计划生成规则（运行小时 + 日历周期的组合判断）与维修工单、备件库存之间的联动一致性。
</t>
    </r>
    <r>
      <rPr>
        <b/>
        <sz val="10"/>
        <rFont val="Microsoft YaHei"/>
        <charset val="134"/>
      </rPr>
      <t>需要实现的主要功能</t>
    </r>
    <r>
      <rPr>
        <sz val="10"/>
        <rFont val="Microsoft YaHei"/>
        <charset val="134"/>
      </rPr>
      <t xml:space="preserve">
设备台账：机器人型号、编号、厂家、投用日期、所在产线与工位、保修期
运行记录：运行小时数录入或导入、累计运行时长统计
保养计划：按运行小时/日历周期自动生成保养任务、到期提醒、完成确认
故障报修：班组长提交报修（现象、停机时间、照片），自动生成工单编号
维修工单：派工、到岗签到、故障原因与处理措施记录、维修用时统计
备件管理：备件台账、维修领用扣减、旧件回收登记、库存不足提示
设备履历：单台设备的保养、维修、换件记录按时间轴汇总，可导出
统计报表：故障停机时长、设备可用率、平均修复时长、备件消耗排行
</t>
    </r>
    <r>
      <rPr>
        <b/>
        <sz val="10"/>
        <rFont val="Microsoft YaHei"/>
        <charset val="134"/>
      </rPr>
      <t>涉及的主要技术</t>
    </r>
    <r>
      <rPr>
        <sz val="10"/>
        <rFont val="Microsoft YaHei"/>
        <charset val="134"/>
      </rPr>
      <t xml:space="preserve">
业务建模：保养计划与维修工单的双状态机，以及与备件库存的联动
定时任务：保养到期扫描与提醒推送
后端：主流 Web 框架 + 关系数据库 + RBAC（设备工程师 / 班组长 / 维修工 / 库管）
前端：设备卡片与履历时间轴、工单看板、停机统计图表
研究点：运行小时驱动的保养计划生成规则设计；维修领料与库存扣减的一致性保证</t>
    </r>
  </si>
  <si>
    <t>无人值守自助门店运营管理平台设计与实现</t>
  </si>
  <si>
    <r>
      <rPr>
        <b/>
        <sz val="10"/>
        <rFont val="Microsoft YaHei"/>
        <charset val="134"/>
      </rPr>
      <t>研究目的</t>
    </r>
    <r>
      <rPr>
        <sz val="10"/>
        <rFont val="Microsoft YaHei"/>
        <charset val="134"/>
      </rPr>
      <t xml:space="preserve">
无人值守不等于不用管。店主要天天关心的其实就三件事：今天收了多少钱、设备有没有坏的、耗材还剩多少。但现实是：洗衣机的后台在一个 App、门禁在另一个、支付流水在微信和支付宝两个渠道各一笔，对账时要把三个来源的数据人工拼起来，经常对不上几百块；某台洗衣机投币口卡了三天才发现；洗涤剂断货了，客人白跑一趟给了差评。本课题研究多品牌设备的统一运营台账与对账机制。研究重点是多品牌异构设备接入的统一数据模型设计（不同品牌参数不同，不能一设备一张表）与跨支付渠道流水与订单的对账差异处理。
</t>
    </r>
    <r>
      <rPr>
        <b/>
        <sz val="10"/>
        <rFont val="Microsoft YaHei"/>
        <charset val="134"/>
      </rPr>
      <t>需要实现的主要功能</t>
    </r>
    <r>
      <rPr>
        <sz val="10"/>
        <rFont val="Microsoft YaHei"/>
        <charset val="134"/>
      </rPr>
      <t xml:space="preserve">
门店与设备台账：门店信息、设备类型与品牌、编号、投放日期、保修期、所在位置
订单与预约：时段预约（自习室座位）、时长包与次卡、订单状态与超时计费规则
门禁与开门记录：动态密码/二维码开门、开门记录查询、异常开门告警（无订单开门、短时多次开门）
设备状态与故障：运行状态展示（接口可模拟或手工登记）、故障告警与报修工单、维修记录
耗材与补货：耗材种类（洗涤剂、纸巾、消毒液）库存、消耗速率与补货提醒
收入对账：各支付渠道流水导入、与系统订单核对、差异清单与差异原因登记
保洁与巡检：保洁排班、到店打卡、清洁检查项记录、异常上报
经营报表：各门店收入、设备利用率、客单价、坪效、投诉与差评处理
</t>
    </r>
    <r>
      <rPr>
        <b/>
        <sz val="10"/>
        <rFont val="Microsoft YaHei"/>
        <charset val="134"/>
      </rPr>
      <t>涉及的主要技术</t>
    </r>
    <r>
      <rPr>
        <sz val="10"/>
        <rFont val="Microsoft YaHei"/>
        <charset val="134"/>
      </rPr>
      <t xml:space="preserve">
业务建模：门店—设备—订单—工单的统一模型，设备能力用配置项表达
对账处理：多渠道流水导入与订单比对的差异识别规则
后端：主流 Web 框架 + 关系数据库 + 定时任务（补货与故障提醒）+ RBAC（店主 / 店长 / 保洁 / 维修）
前端：多店总览看板、设备列表、对账差异表、经营图表
可选加分项：对接设备或支付开放接口；不接则数据手工导入或模拟
研究点：异构设备统一数据模型的设计；跨渠道对账差异的识别与处理机制</t>
    </r>
  </si>
  <si>
    <t>商用服务机器人多站点部署运维管理平台设计与实现</t>
  </si>
  <si>
    <r>
      <rPr>
        <b/>
        <sz val="10"/>
        <rFont val="Microsoft YaHei"/>
        <charset val="134"/>
      </rPr>
      <t>研究目的</t>
    </r>
    <r>
      <rPr>
        <sz val="10"/>
        <rFont val="Microsoft YaHei"/>
        <charset val="134"/>
      </rPr>
      <t xml:space="preserve">
服务机器人大多不是自己买的，是租的或者按服务买的，一个小区的物业可能同时管着三种品牌、五台机器。运维专员每天要干的活很碎：某台清洁机器人的抹布该换了、某台送物机器人的水箱没水了、三楼的地图昨天更新过要重新下发任务、有一台报错三天了厂家还没来人。这些信息散在不同品牌的 App 和微信群里，很难回答一个最简单的问题——"今天到底几台在正常干活？"本课题研究异构服务机器人的统一资产与运维工单建模，把不同品牌、不同类型的设备抽象成一张台账。研究重点是异构设备如何抽象成统一数据模型（不同品牌的能力差异怎么表达）与耗材寿命提醒规则的合理性。
</t>
    </r>
    <r>
      <rPr>
        <b/>
        <sz val="10"/>
        <rFont val="Microsoft YaHei"/>
        <charset val="134"/>
      </rPr>
      <t>需要实现的主要功能</t>
    </r>
    <r>
      <rPr>
        <sz val="10"/>
        <rFont val="Microsoft YaHei"/>
        <charset val="134"/>
      </rPr>
      <t xml:space="preserve">
站点与楼层管理：站点、楼栋、楼层、区域划分与责任人
设备台账：机器人类型、品牌、编号、投放位置、负责人、保修期、租赁方式
任务下发与回收：按区域下发清扫/配送任务、执行记录回收、任务完成确认
耗材与寿命管理：抹布、水箱、滤芯等耗材的更换周期维护与到期提醒
故障工单：报修受理 → 厂家响应 → 维修结果 → 复机确认的闭环
地图版本管理：楼层地图的更新记录、版本切换与任务重新下发
在线率与状态看板：设备在线/离线/充电/故障状态、在线率与故障率统计
运维报表：站点运维成本、单台故障频次、耗材消耗、厂家响应时长排行
</t>
    </r>
    <r>
      <rPr>
        <b/>
        <sz val="10"/>
        <rFont val="Microsoft YaHei"/>
        <charset val="134"/>
      </rPr>
      <t>涉及的主要技术</t>
    </r>
    <r>
      <rPr>
        <sz val="10"/>
        <rFont val="Microsoft YaHei"/>
        <charset val="134"/>
      </rPr>
      <t xml:space="preserve">
业务建模：多品牌异构设备的统一抽象（设备能力用配置项表达，而非写死字段）
工单模型：报修—响应—维修—复机四节点的状态控制
后端：主流 Web 框架 + 关系数据库 + 定时任务（耗材与保修到期提醒）
前端：站点设备分布看板、工单列表、统计图表
可选加分项：对接机器人厂家开放接口；不接则设备状态手工登记或模拟
研究点：异构设备统一数据模型的设计；耗材寿命提醒规则与"误提醒"抑制</t>
    </r>
  </si>
  <si>
    <t>协作机器人租赁运营与计费管理平台设计与实现</t>
  </si>
  <si>
    <r>
      <rPr>
        <b/>
        <sz val="10"/>
        <rFont val="Microsoft YaHei"/>
        <charset val="134"/>
      </rPr>
      <t>研究目的</t>
    </r>
    <r>
      <rPr>
        <sz val="10"/>
        <rFont val="Microsoft YaHei"/>
        <charset val="134"/>
      </rPr>
      <t xml:space="preserve">
租赁这门生意的钱不好算。一台协作机器人租给学校做实训，签的是三个月，实际用了两个月零十天，要按天折算；展会租赁是按天算还含超时加收；客户把末端夹具撞坏了，是正常磨损还是人为损坏，责任怎么认定、从押金里扣多少；机器还回来发现少了一根线缆，清点单上当初有没有写。这些规则都存在，但全靠人工算，算错了客户不认、公司吃亏，扯皮时又拿不出证据。本课题研究租赁全周期的规则化计费与责任认定建模，把押金、租金、超期、损坏抵扣、退租验收串成一条可追溯的链路。研究重点是租赁计费规则的形式化表达（不足月折算、超期加收、损坏抵扣的组合计算）与结算单的可追溯生成。
</t>
    </r>
    <r>
      <rPr>
        <b/>
        <sz val="10"/>
        <rFont val="Microsoft YaHei"/>
        <charset val="134"/>
      </rPr>
      <t>需要实现的主要功能</t>
    </r>
    <r>
      <rPr>
        <sz val="10"/>
        <rFont val="Microsoft YaHei"/>
        <charset val="134"/>
      </rPr>
      <t xml:space="preserve">
可租设备台账：型号、序列号、押金标准、日租金/月租金、配套附件清单与估值、适用场景
客户与合同管理：客户档案、合同登记（租期、价格、押金、责任条款要点）、合同附件
出入库与交付：出库登记、现场交付确认、随机附件清点、操作培训签到
租期与计费：按天/按月的租金计算、不足月折算规则、超期自动加收、费用明细生成
损坏与责任认定：使用期间故障与损坏上报、现场照片、责任判定（自然磨损 / 人为损坏 / 质量问题）
退租验收：外观与功能检查项逐项确认、附件清点、差异记录
押金与结算：押金抵扣项逐条列示、退还金额计算、结算单与对账单生成
客户信用与统计：客户履约记录（逾期、损坏历史）、设备出租率与收益报表
</t>
    </r>
    <r>
      <rPr>
        <b/>
        <sz val="10"/>
        <rFont val="Microsoft YaHei"/>
        <charset val="134"/>
      </rPr>
      <t>涉及的主要技术</t>
    </r>
    <r>
      <rPr>
        <sz val="10"/>
        <rFont val="Microsoft YaHei"/>
        <charset val="134"/>
      </rPr>
      <t xml:space="preserve">
业务建模：租赁合同—设备—费用的关联模型与费用明细的可追溯生成
计费规则：折算、加收、抵扣等规则的可配置表达与计算留痕
后端：主流 Web 框架 + 关系数据库 + 文件存储（合同、验收单）+ RBAC（运营 / 仓库 / 财务 / 技术）
前端：设备可租状态看板、费用明细表、验收清单表单
研究点：租赁计费规则的形式化与组合计算的可验证性；押金扣款的规则化与留痕</t>
    </r>
  </si>
  <si>
    <t>楚连瑞</t>
  </si>
  <si>
    <t>校园宣讲会预约与简历投递跟踪系统的设计与实现</t>
  </si>
  <si>
    <t>研究目的：解决校园宣讲会信息分散、学生预约混乱、简历投递后无反馈、学校和企业难以统计宣讲效果的问题，实现宣讲会发布、预约、签到、简历投递和进度跟踪的一体化管理。
主要功能：企业/学校发布宣讲会信息；学生浏览、预约、取消预约；宣讲会签到，支持二维码签到；学生上传简历并投递岗位；企业查看简历、更新处理状态
投递状态跟踪：已投递、已查看、面试、录用、拒绝
消息通知与提醒
数据统计：预约人数、到场率、投递量、录用情况
开发技术
推荐 B/S 架构或小程序 + 后端服务。前端可用 Vue/小程序，后端用 Spring Boot、Django 或 Node.js，数据库 MySQL，Redis 做缓存，MinIO/OSS 存简历，二维码用于签到，WebSocket 或站内信做通知。</t>
  </si>
  <si>
    <t>古代服饰纹样数据库与搭配展示系统的设计与实现</t>
  </si>
  <si>
    <t>研究目的：对古代服饰纹样进行数字化保存、分类、检索和展示，提供纹样搭配与知识科普，服务于传统文化传播、服装设计教学和数字博物馆建设。
角色与主要功能
系统管理员
管理用户、角色、权限、分类、标签、日志和系统参数；维护朝代、来源等基础字典。
内容专家/审核员
录入、编辑、校勘纹样资料；标注朝代、寓意、工艺、出处；审核用户上传内容；管理专题和推荐；处理举报与评论。
普通用户/设计师/学生
浏览、检索、筛选纹样；收藏、点赞、评论、分享；使用纹样进行搭配组合；上传个人搭配作品；参与专题活动。
游客
浏览公开纹样与科普内容；搜索和查看详情；不能收藏、评论和上传。
权限要点
专家可编辑专业数据；普通用户只能管理自己的收藏和作品；游客只读。</t>
  </si>
  <si>
    <t>校园音乐节摊位与节目审核系统的设计与实现</t>
  </si>
  <si>
    <t>研究目的：规范校园音乐节摊位申请、节目报名和审核流程，提高活动组织效率，实现申请、审核、排期、通知和统计的信息化管理。
角色与主要功能
系统管理员
管理用户、角色、权限、日志；维护活动类型、摊位类型、节目类别；配置消息模板。
活动主办方/审核评委
创建音乐节；设置摊位和节目报名规则；审核摊位与节目；打分和写评语；安排排期；发布公告；统计报名与审核结果。
摊主/社团/演出者
申请摊位或报名节目；上传资质、音视频、剧本；查看审核进度和结果；查看摊位分配或演出排期；接收通知。</t>
  </si>
  <si>
    <t>校园戏剧节票务与排练场地系统的设计与实现</t>
  </si>
  <si>
    <t xml:space="preserve">研究目的：解决校园戏剧节票务分发、场次管理、座位选择、检票和排练场地冲突问题，实现票务与场地预约一体化管理。
角色与主要功能
系统管理员
管理用户、角色、权限、日志；维护场馆、场次、票价、座位模板；配置支付模拟和消息模板。
戏剧节组委会/场地管理员
创建戏剧节、发布场次；审核剧目和团队；设置票务与退票规则；审批排练场地；检测时间冲突；查看票务、场地和入场统计。
剧目负责人/剧团
报名剧目；上传剧本和介绍；管理剧组成员；申请排练场地；查看票务销售和入场情况。
观众/检票员
观众浏览剧目与场次，在线选座、领票/购票、退票，查看电子票，扫码入场，评价剧目；检票员扫描二维码，核验票种、场次、座位，统计入场人数。
权限要点
观众只能看本人票；剧团只能看本团剧目与场地；场地管理员只能看所管场地；组委会看全局。
</t>
  </si>
  <si>
    <t>校园歌手大赛投票与评审系统的设计与实现</t>
  </si>
  <si>
    <t>研究目的：保证校园歌手大赛投票公平、评审透明、成绩自动汇总，解决人工统计效率低、刷票难防、排名不透明等问题。
角色与主要功能
系统管理员
管理用户、角色、权限、日志；配置投票规则、评分权重、防刷策略、验证码和限流。
大赛组委会/评委/监审
创建比赛、设置轮次；管理选手报名与作品；设置评委和投票权重；在线评分、写评语；监控异常投票；处理申诉与违规。
选手
报名、上传作品和个人介绍；查看审核状态；查看得分、排名和评语；提交申诉。
大众投票用户/学生
实名或学号认证；在线投票；查看实时排名和选手作品；举报异常行为。
权限要点
评委只能评分配选手；选手只能看本人数据；大众用户只能投票和查看公开信息；监审可查异常日志。</t>
  </si>
  <si>
    <t>高校实验室安全管理系统的设计与实现</t>
  </si>
  <si>
    <t>研究目的：加强高校实验室安全准入、巡检、隐患整改和危化品管理，形成安全责任闭环，降低实验室事故风险。
角色与主要功能
系统管理员
管理用户、角色、权限、日志；维护实验室、学院、楼宇、房间基础数据；配置安全等级、检查项和消息模板。
学校/学院安全管理员
制定安全制度与检查计划；管理本院实验室安全信息；分配巡检任务；审核隐患上报与整改结果；查看安全态势和统计。
实验室负责人/巡检员
维护实验室信息和成员；管理危化品台账与领用记录；安排巡检；扫码打卡；拍照记录；上报隐患；处理整改任务。
教师/学生
学习安全知识；参加准入考试；查看准入资格；使用登记；隐患上报；查看整改通知。权限要点
学生只能看本人准入与上报；实验室负责人看本实验室；学院看本院；学校管理员看全局。</t>
  </si>
  <si>
    <t>高校实验报告查重与批改系统的设计与实现</t>
  </si>
  <si>
    <t>研究目的：减轻教师批改实验报告的负担，检测学生报告抄袭情况，提高实验报告质量，实现提交、查重、批改、评分和反馈的线上化管理。
角色与主要功能
系统管理员
管理用户、角色、权限、日志；维护课程、班级、实验项目；配置查重阈值、比对库和系统参数。
教务管理员/教师
教务管理课程与实验教学计划，设置查重库范围，查看统计报表；教师发布实验报告任务，设置截止时间和格式要求，查看查重报告，在线批改、评分、评语，处理申诉。
助教
协助查看提交情况；初筛查重结果；辅助批改与整理；提醒未提交学生。
学生
在线提交实验报告；查看查重结果与相似来源；查看成绩和评语；提交申诉或重新提交。
权限要点
学生只能看本人报告；教师看所授课程；助教看分配班级；教务看全局统计。</t>
  </si>
  <si>
    <t>高校微专业报名与学分认定系统的设计与实现</t>
  </si>
  <si>
    <t>研究目的：规范高校微专业招生、报名、课程学习、成绩管理和学分认定流程，提高微专业管理效率，方便学生查询和证书获取。
角色与主要功能
系统管理员
管理用户、角色、权限、日志；维护微专业、课程、学分规则；管理证书模板和消息模板。
教务处/微专业负责人
审批微专业开设；设置报名条件和学分认定规则；发布招生简章；管理课程体系；审核报名和学分申请；录入成绩；生成与发放证书；查看统计。
授课教师
查看学生名单；录入成绩；发布课程资料；查看教学反馈。
学生
浏览微专业并报名；选课、查看课表；查询成绩；申请学分认定；下载结业证书。
权限要点
学生只能看本人报名、成绩、学分；教师看所授课程；微专业负责人看本专业；教务处看全局。</t>
  </si>
  <si>
    <t>大学生职业兴趣测评与岗位画像匹配系统的设计与实现</t>
  </si>
  <si>
    <t xml:space="preserve">研究目的：通过职业兴趣测评和岗位画像匹配，帮助大学生了解自身职业倾向，推荐适合岗位，提升就业指导的精准性和科学性。
角色与主要功能
系统管理员
管理用户、角色、权限、日志；维护测评量表、题库、岗位标签；配置推荐规则和算法参数。
就业指导中心/职业咨询师
管理测评活动；维护岗位库与岗位画像；设置推荐策略；查看学生测评报告；提供在线咨询；记录咨询建议；跟踪反馈；查看全校统计。
企业 HR/岗位审核员
企业认证；发布岗位；维护岗位画像；查看匹配学生；查看投递并更新状态；审核企业资质和岗位信息；处理虚假岗位举报。
学生
进行职业兴趣测评；查看测评报告与能力画像；查看推荐岗位；收藏、投递、反馈；预约咨询。
权限要点
学生只能看本人测评与投递；企业看本企业岗位与投递；咨询师看预约学生；就业中心看全局。
</t>
  </si>
  <si>
    <t>社区宠物粪便清理志愿督导系统的设计与实现</t>
  </si>
  <si>
    <t>研究目的：通过志愿督导、问题上报、任务派发和积分激励，改善社区宠物粪便清理问题，提升社区文明程度和居民参与感。
角色与主要功能
系统管理员
管理用户、角色、权限、日志；维护社区、区域、积分规则；管理公告和消息模板。
社区管理员/志愿队长
发布志愿活动；分配任务与区域；组织志愿者报名；审核签到与上报；审核处理结果；查看统计、积分和排名；发布公告。
志愿者/物业环卫人员
志愿者报名、签到、巡查上报，拍照、定位、描述，处理任务并反馈，查看积分和排行榜；物业环卫人员接收清理任务，上传清理前后照片，反馈完成情况。
居民
上报宠物粪便问题；查看处理进度；评价处理结果；查看公告。
权限要点
志愿者看本人任务与积分；队长看本队；居民看本人上报；物业看分配给自己的任务。</t>
  </si>
  <si>
    <t>社区儿童课后托管报名与安全签到系统的设计与实现</t>
  </si>
  <si>
    <t xml:space="preserve">研究目的：解决社区儿童课后托管报名、名额管理、接送安全和签到记录问题，方便家长和社区管理者实时掌握儿童状态。
角色与主要功能
系统管理员
管理用户、角色、权限、日志；维护社区、托管班、年龄段基础数据；配置消息模板和安全规则。
社区管理员/托管老师
社区管理员发布托管班与名额，审核报名，管理缴费/退费，发布公告与统计报表；托管老师查看班级名单，签到、签退，记录课堂表现与异常，通知家长。
家长/接送人
家长注册儿童信息，报名、缴费，授权接送人，查看签到签退记录，请假、评价、接收通知；接送人接收授权，扫码或验证接送，查看接送记录。
财务人员（可选）
收费、退费、对账；导出缴费统计。
权限要点
家长只能看本人孩子；接送人只看被授权儿童；托管老师看所管班级；社区管理员看本社区。
</t>
  </si>
  <si>
    <t>社区非机动车停放隐患排查系统的设计与实现</t>
  </si>
  <si>
    <t>一、研究目的
针对小区电动车违规停放、楼道充电隐患多、排查记录零散、整改难以跟踪的问题，本系统实现社区安全隐患排查、整改跟踪与数据统计管理，助力社区安全治理数字化。
二、主要实现功能
1. 管理员管理网格员、巡查人员信息。
2. 网格员录入隐患记录、上传现场照片、标注隐患类型。
3. 隐患派发整改、记录整改前后状态。
4. 统计隐患发生率、整改完成率。
5. 安全排查台账导出归档。
三、开发技术
SpringBoot + Vue3 + MySQL + ECharts
四、主要创新点
1. 聚焦**社区消防安全隐患治理**，选题非常贴合时政、冷门不撞题。
2. 实现隐患发现 — 派发 — 整改 — 归档完整治理流程。
3. 图文结合记录，真实模拟网格员巡查工作场景。</t>
  </si>
  <si>
    <t>社区楼道堆物上报与清理闭环系统的设计与实现</t>
  </si>
  <si>
    <t xml:space="preserve">研究目的：方便居民上报楼道堆物隐患，推动物业和社区及时处理并复核，形成“上报—派单—处理—复核—归档”的闭环，保障消防通道安全。
角色与主要功能
系统管理员
管理用户、角色、权限、日志；维护社区、楼栋、单元、网格基础数据；配置工单流程和超时规则。
社区管理员/网格员/复核员
社区管理员制定巡查与派单规则，查看全局工单，发布公告、统计和超时预警；网格员巡查上报、核实居民上报、派单、复核处理结果；复核员确认归档，退回不合格工单，统计闭环率。
居民
拍照、定位上报楼道堆物；查看处理进度；评价处理结果；查看公告。
物业/清理人员
接收工单；安排清理；上传处理前后照片；反馈完成情况；申请复核。
权限要点
居民看本人上报；网格员看负责网格；物业看派给本物业工单；社区管理员看全局。
</t>
  </si>
  <si>
    <t>社区停车位共享与违停上报系统的设计与实现</t>
  </si>
  <si>
    <t>研究目的：缓解社区停车难，鼓励私家车位分时共享，同时支持违停上报和物业处理，提高车位利用率和通行秩序。
角色与主要功能
系统管理员
管理用户、角色、权限、车位、收费标准、公告和日志；配置共享规则和消息模板。
车位主
发布共享车位；设置可租时段和价格；查看预约；确认订单；查看收益。
车主/居民
搜索共享车位；预约、导航、支付；查看订单；上报违停；评价。
物业
审核车位；处理违停上报；现场核实；上传处理结果；查看统计。</t>
  </si>
  <si>
    <t>高校主观题批阅系统的设计与实现</t>
  </si>
  <si>
    <t>一、研究目的
针对教师从超星平台下载学生主观题作业后，批改繁琐、评分标准不统一、成绩统计困难的问题，本系统开发一款纯教师端主观题批改工具。系统支持导入超星作业压缩包，通过管理员统一配置评分标准，配合智能文本比对辅助批改，规范打分尺度，减少人工重复工作，提升主观题批改效率与标准化程度。
二、主要实现功能
系统无学生端，仅分为管理员和普通教师两种权限：
1. 管理员功能：管理教师账号、发布作业任务、统一设置主观题标准答案和评分细则，把控批改标准。
2. 普通教师功能：上传超星学生作业压缩包、自动解析学生答卷、查看作业列表。
3. 智能辅助批改：系统比对答案文本相似度，给出参考分数，教师人工复核、微调分数并添加评语。
4. 成绩管理导出：自动汇总成绩，支持Excel导出，方便教学归档。
三、开发技术
后端采用SpringBoot+MyBatis-Plus，前端使用Vue3+Element Plus，数据库使用MySQL。通过压缩包解析技术读取超星作业文件，结合Jieba分词与余弦相似度算法实现主观题智能辅助批改。
四、主要创新点
1. 适配高校超星平台作业格式，贴合教师真实批改场景，实用性强；
2. 采用管理员定标准、教师执行批改的权限机制，保证评分统一规范；
3. 去除学生端模块，系统轻量化、专注批改核心功能，结构简洁高效。</t>
  </si>
  <si>
    <t>张帅</t>
  </si>
  <si>
    <t>中小企业印章与证照借用管理系统的设计与实现</t>
  </si>
  <si>
    <t>研究目的：面向一家中小企业的印章及证照使用场景，规范申请、审批、借出与归还流程，形成可查询的使用台账，方便责任追溯。
主要功能：面向员工、审批人员、管理员设置相应操作页面；印章和营业执照等证照档案维护；员工提交用印或外借申请，上传用途材料；固定一级审批与退回修改；借出和归还登记，未归还提醒；按人员、物品和月份查询台账，导出报表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</si>
  <si>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检测机构送检样品流转与报告领取系统的设计与实现</t>
  </si>
  <si>
    <t>研究目的：面向一家小型材料检测机构，管理客户送检、样品接收、处理流转及报告领取业务，方便客户查询进度和工作人员查阅服务记录。
主要功能：面向委托客户、检测人员、管理员设置相应操作页面；客户提交送检申请和样品资料；管理员登记样品接收与任务分配；检测人员人工更新流转进度；上传已完成的检测报告文件；客户查询进度、领取报告和确认取回样品；按客户、样品状态和时间统计业务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</si>
  <si>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服装修改门店量体与改衣订单管理系统的设计与实现</t>
  </si>
  <si>
    <t>研究目的：面向一家服装修改门店，统一管理客户量体信息、改衣要求及订单处理过程，支持尺寸资料复用和订单交付情况查询。
主要功能：面向客户、门店员工、管理员设置相应操作页面；客户档案与量体尺寸记录；改衣项目、报价和交付日期管理；改衣订单建立与处理人员分配；试穿反馈、返工和订单进度更新；客户查看本人订单并确认取衣；业务量、交付情况和费用登记统计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</si>
  <si>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餐饮门店成品留样与处置台账管理系统的设计与实现</t>
  </si>
  <si>
    <t>研究目的：面向一家餐饮门店，记录成品留样、检查与到期处置过程，形成完整的留样台账，方便工作人员检查记录及负责人复核。
主要功能：面向门店员工、负责人设置相应操作页面；餐次、成品和留样位置维护；留样编号、时间、数量、照片与经办人登记；按设置的保存时长展示待处置清单；检查记录、到期处置和负责人复核；按餐次或日期追查记录，导出留样台账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</si>
  <si>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农村灌溉轮次申请与用水登记管理系统的设计与实现</t>
  </si>
  <si>
    <t>研究目的：面向一个村的灌溉供水业务，管理用水申请、固定时段安排和实际用水记录，减少同一供水点时段重复安排，方便查询和汇总用水台账。
主要功能：面向用水户、供水工作人员、管理员设置相应操作页面；用水户、地块与供水点档案管理；提交固定时段的用水申请；审批申请并校验同一供水点时段是否冲突；登记实际用水时段和人工抄表数据；申请取消、用水记录确认与异常备注；轮次安排查询、用水台账和汇总报表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</si>
  <si>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中小企业会议决议与督办事项管理系统的设计与实现</t>
  </si>
  <si>
    <t>研究目的：面向一家中小企业的会后事项执行场景，将会议决议关联到责任人和完成期限，支持进度反馈、督办与完成确认，方便查询执行情况。
主要功能：面向普通员工、督办人员、管理员设置相应操作页面；会议主题、参会人、纪要和附件维护；将决议登记为有责任人与期限的督办事项；执行人员更新进度并提交完成材料；督办人员确认完成或退回补充；逾期清单、催办记录和按会议查询；部门及人员完成情况统计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</si>
  <si>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烘焙工作室配方与试制档案管理系统的设计与实现</t>
  </si>
  <si>
    <t>研究目的：面向一个烘焙工作室，统一保存产品配方版本、试制过程与人工评价记录，方便比较历史试制资料和追查采用的配方版本。
主要功能：面向制作人员、工作室负责人设置相应操作页面；产品、原料和配方明细维护；配方版本保存与历史查阅；登记试制批次、工艺条件、照片和人工评价；负责人审核试制记录并确定采用的配方版本；按产品或配方查询试制档案；试制次数、版本采用情况和档案导出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</si>
  <si>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校园植物标本采集与馆藏管理系统的设计与实现</t>
  </si>
  <si>
    <t>研究目的：面向一个校园教学标本室，管理植物标本的采集资料、验收入藏、存放位置与借展记录，方便查找标本和追溯馆藏流转情况。
主要功能：面向采集人员、馆藏管理员设置相应操作页面；采集记录、标本编号和人工填写的种类信息；上传标本照片与采集资料；管理员验收入藏并分配柜层盒位置；移位、借展和归还记录；按类别、采集地点和存放位置检索；标签、馆藏清单与统计报表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</si>
  <si>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商用周转箱发放回收与押金台账管理系统的设计与实现</t>
  </si>
  <si>
    <t>研究目的：面向一个小型配送仓库，管理商用周转箱的发放、回收、损坏与押金登记，方便核对客户在用数量、仓库库存和押金收退台账。
主要功能：面向客户、仓库人员、管理员设置相应操作页面；周转箱规格、数量、押金标准和客户档案；客户发放申请与出库登记；登记部分或全部归还及损坏数量；按固定标准记录押金应收与退还金额；核对客户在用数量和仓库库存；逾期清单、数量对账和押金台账导出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</si>
  <si>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乐器维修服务与维修进度管理系统的设计与实现</t>
  </si>
  <si>
    <t>研究目的：面向一家乐器维修门店，管理客户送修、报价确认、维修处理与验收取件过程，方便客户查询维修进度和门店维护服务记录。
主要功能：面向客户、维修人员、管理员设置相应操作页面；客户、乐器档案和故障描述登记；提交维修申请并记录收件；检查情况、报价与客户确认；维修任务分配、进度和配件使用记录；客户验收取件与售后备注；维修单查询、状态统计和费用登记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</si>
  <si>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企业员工资质证书与到期复审管理系统的设计与实现</t>
  </si>
  <si>
    <t>研究目的：面向一家企业的员工岗位资质管理场景，统一登记证书资料、有效期和复审记录，支持资料审核与到期清单查询，方便跟踪复审办理情况。
主要功能：面向员工、部门审核人员、管理员设置相应操作页面；员工、岗位和证书类型档案维护；员工登记证书信息并上传附件；部门审核证书资料，退回补充；展示即将到期和待复审证书清单；登记复审申请、处理结果和更新后的有效期；按部门、岗位与证书状态统计导出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</si>
  <si>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青年旅舍行李寄存与领取管理系统的设计与实现</t>
  </si>
  <si>
    <t>研究目的：面向一家青年旅舍的前台行李寄存业务，管理寄存申请、存放位置、延期与领取记录，方便查找行李和核对尚未领取的寄存单。
主要功能：面向旅客、前台人员、管理员设置相应操作页面；寄存位置、收费标准和旅客寄存申请；登记行李件数、照片和寄存位置；生成寄存单编号，登记开始时间；延期申请与约定费用登记；前台按寄存单核对信息并确认领取；未领取清单、位置使用情况和业务报表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</si>
  <si>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校园演出道具装箱与借还管理系统的设计与实现</t>
  </si>
  <si>
    <t>研究目的：面向一个校园演出团队，管理各场演出的道具需求、装箱清单、借出交接与归还清点，方便追查缺失、损坏及未归还的道具。
主要功能：面向剧组负责人、道具管理人员、管理员设置相应操作页面；演出场次、道具和周转箱档案管理；剧组提交道具需求，管理人员制作装箱清单；逐项核对道具数量并记录借出交接；剧组查看清单、确认领取和申请归还；归还清点、缺失或损坏登记及处理；按场次追查交接记录，导出借还报表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</si>
  <si>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社区共享冰箱食品捐赠与领取管理系统的设计与实现</t>
  </si>
  <si>
    <t>研究目的：面向一个社区共享冰箱服务点，使用模拟食品数据管理捐赠接收、居民领取与到期处置，形成食品批次及数量台账，方便查阅物资去向。
主要功能：面向居民、共享点管理员设置相应操作页面；居民登记拟捐食品名称、包装、数量和有效期；管理员确认接收并建立食品批次；居民浏览可领取食品并提交领取登记；管理员确认领取，核对可领取数量；到期下架、处置和批次去向记录；捐赠领取台账、数量汇总和公告维护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</si>
  <si>
    <t>广告制作工作室客户需求与稿件确认系统的设计与实现</t>
  </si>
  <si>
    <t>研究目的：面向一家小型广告制作工作室，管理客户制作需求、稿件版本、修改意见与定稿确认过程，方便客户和制作人员查阅需求及反馈记录。
主要功能：面向客户、制作人员、管理员设置相应操作页面；客户提交海报或宣传册制作需求及参考附件；管理员受理需求并分配制作人员；制作人员上传稿件版本和处理说明；客户查看稿件并提交修改意见或确认定稿；保留意见和稿件版本，展示制作进度；定稿交付、历史查询和业务统计。
开发技术：前端采用Vue 3、Element Plus和Axios，后端采用Spring Boot和MyBatis-Plus，数据库采用MySQL。采用前后端分离的Web应用形式，由学生独立完成页面、接口、数据库设计、联调与测试，可使用AI辅助编码。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</si>
</sst>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5">
    <font>
      <sz val="11"/>
      <color theme="1"/>
      <name val="宋体"/>
      <charset val="134"/>
      <scheme val="minor"/>
    </font>
    <font>
      <sz val="10"/>
      <name val="微软雅黑"/>
      <charset val="134"/>
    </font>
    <font>
      <b/>
      <sz val="10"/>
      <name val="微软雅黑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9"/>
  <sheetViews>
    <sheetView tabSelected="1" zoomScale="107" zoomScaleNormal="107" workbookViewId="0">
      <selection activeCell="D15" sqref="D15"/>
    </sheetView>
  </sheetViews>
  <sheetFormatPr defaultColWidth="9" defaultRowHeight="15.2" outlineLevelCol="6"/>
  <cols>
    <col min="1" max="1" width="6.26923076923077" style="1" customWidth="1"/>
    <col min="2" max="2" width="9" style="2"/>
    <col min="3" max="3" width="56.5961538461538" style="1" customWidth="1"/>
    <col min="4" max="4" width="91.3365384615385" style="1" customWidth="1"/>
    <col min="5" max="5" width="15.1346153846154" style="2" customWidth="1"/>
    <col min="6" max="6" width="9" style="1"/>
    <col min="7" max="7" width="72" style="1" customWidth="1"/>
    <col min="8" max="16384" width="9" style="1"/>
  </cols>
  <sheetData>
    <row r="1" ht="46" spans="1:7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5" t="s">
        <v>5</v>
      </c>
    </row>
    <row r="2" ht="16" spans="1:7">
      <c r="A2" s="7">
        <v>1</v>
      </c>
      <c r="B2" s="7" t="s">
        <v>6</v>
      </c>
      <c r="C2" s="8" t="s">
        <v>7</v>
      </c>
      <c r="D2" s="8" t="s">
        <v>8</v>
      </c>
      <c r="E2" s="9" t="s">
        <v>9</v>
      </c>
      <c r="F2" s="10">
        <v>1</v>
      </c>
      <c r="G2" s="1" t="str">
        <f>A2&amp;"\"&amp;C2&amp;"\"&amp;E2&amp;"\"&amp;B2</f>
        <v>1\基于Web的大学生心理健康智能问答系统的设计与实现\软件开发\王超杰</v>
      </c>
    </row>
    <row r="3" ht="16" spans="1:7">
      <c r="A3" s="7">
        <v>2</v>
      </c>
      <c r="B3" s="7" t="s">
        <v>6</v>
      </c>
      <c r="C3" s="8" t="s">
        <v>10</v>
      </c>
      <c r="D3" s="8" t="s">
        <v>11</v>
      </c>
      <c r="E3" s="9" t="s">
        <v>9</v>
      </c>
      <c r="F3" s="10">
        <v>1</v>
      </c>
      <c r="G3" s="1" t="str">
        <f t="shared" ref="G3:G34" si="0">A3&amp;"\"&amp;C3&amp;"\"&amp;E3&amp;"\"&amp;B3</f>
        <v>2\基于Web的大学生简历智能优化系统的设计与实现\软件开发\王超杰</v>
      </c>
    </row>
    <row r="4" ht="16" spans="1:7">
      <c r="A4" s="7">
        <v>3</v>
      </c>
      <c r="B4" s="7" t="s">
        <v>6</v>
      </c>
      <c r="C4" s="8" t="s">
        <v>12</v>
      </c>
      <c r="D4" s="8" t="s">
        <v>13</v>
      </c>
      <c r="E4" s="9" t="s">
        <v>9</v>
      </c>
      <c r="F4" s="10">
        <v>1</v>
      </c>
      <c r="G4" s="1" t="str">
        <f t="shared" si="0"/>
        <v>3\基于Web的学业导师智能点评分析系统的设计与实现\软件开发\王超杰</v>
      </c>
    </row>
    <row r="5" ht="16" spans="1:7">
      <c r="A5" s="7">
        <v>4</v>
      </c>
      <c r="B5" s="7" t="s">
        <v>6</v>
      </c>
      <c r="C5" s="8" t="s">
        <v>14</v>
      </c>
      <c r="D5" s="8" t="s">
        <v>15</v>
      </c>
      <c r="E5" s="9" t="s">
        <v>9</v>
      </c>
      <c r="F5" s="10">
        <v>1</v>
      </c>
      <c r="G5" s="1" t="str">
        <f t="shared" si="0"/>
        <v>4\基于Web的大学生智能职业成长系统的设计与实现\软件开发\王超杰</v>
      </c>
    </row>
    <row r="6" ht="16" spans="1:7">
      <c r="A6" s="7">
        <v>5</v>
      </c>
      <c r="B6" s="7" t="s">
        <v>6</v>
      </c>
      <c r="C6" s="8" t="s">
        <v>16</v>
      </c>
      <c r="D6" s="8" t="s">
        <v>17</v>
      </c>
      <c r="E6" s="9" t="s">
        <v>9</v>
      </c>
      <c r="F6" s="10">
        <v>1</v>
      </c>
      <c r="G6" s="1" t="str">
        <f t="shared" si="0"/>
        <v>5\基于Web的大学生请假智能审批系统的设计与实现\软件开发\王超杰</v>
      </c>
    </row>
    <row r="7" ht="16" spans="1:7">
      <c r="A7" s="7">
        <v>6</v>
      </c>
      <c r="B7" s="7" t="s">
        <v>6</v>
      </c>
      <c r="C7" s="8" t="s">
        <v>18</v>
      </c>
      <c r="D7" s="8" t="s">
        <v>19</v>
      </c>
      <c r="E7" s="9" t="s">
        <v>9</v>
      </c>
      <c r="F7" s="10">
        <v>1</v>
      </c>
      <c r="G7" s="1" t="str">
        <f t="shared" si="0"/>
        <v>6\基于Web的高校资产设备智能盘点系统的设计与实现\软件开发\王超杰</v>
      </c>
    </row>
    <row r="8" ht="16" spans="1:7">
      <c r="A8" s="7">
        <v>7</v>
      </c>
      <c r="B8" s="7" t="s">
        <v>6</v>
      </c>
      <c r="C8" s="8" t="s">
        <v>20</v>
      </c>
      <c r="D8" s="8" t="s">
        <v>21</v>
      </c>
      <c r="E8" s="9" t="s">
        <v>9</v>
      </c>
      <c r="F8" s="10">
        <v>1</v>
      </c>
      <c r="G8" s="1" t="str">
        <f t="shared" si="0"/>
        <v>7\基于Web的高考志愿智能填报推荐系统的设计与实现\软件开发\王超杰</v>
      </c>
    </row>
    <row r="9" ht="16" spans="1:7">
      <c r="A9" s="7">
        <v>8</v>
      </c>
      <c r="B9" s="7" t="s">
        <v>6</v>
      </c>
      <c r="C9" s="8" t="s">
        <v>22</v>
      </c>
      <c r="D9" s="8" t="s">
        <v>23</v>
      </c>
      <c r="E9" s="9" t="s">
        <v>9</v>
      </c>
      <c r="F9" s="10">
        <v>1</v>
      </c>
      <c r="G9" s="1" t="str">
        <f t="shared" si="0"/>
        <v>8\基于Web的大学生奖学金智能评审系统的设计与实现\软件开发\王超杰</v>
      </c>
    </row>
    <row r="10" ht="16" spans="1:7">
      <c r="A10" s="7">
        <v>9</v>
      </c>
      <c r="B10" s="7" t="s">
        <v>6</v>
      </c>
      <c r="C10" s="8" t="s">
        <v>24</v>
      </c>
      <c r="D10" s="8" t="s">
        <v>25</v>
      </c>
      <c r="E10" s="9" t="s">
        <v>9</v>
      </c>
      <c r="F10" s="10">
        <v>1</v>
      </c>
      <c r="G10" s="1" t="str">
        <f t="shared" si="0"/>
        <v>9\基于SpringBoot的竞赛智能系统的设计与实现\软件开发\王超杰</v>
      </c>
    </row>
    <row r="11" ht="16" spans="1:7">
      <c r="A11" s="7">
        <v>10</v>
      </c>
      <c r="B11" s="7" t="s">
        <v>6</v>
      </c>
      <c r="C11" s="8" t="s">
        <v>26</v>
      </c>
      <c r="D11" s="8" t="s">
        <v>27</v>
      </c>
      <c r="E11" s="9" t="s">
        <v>9</v>
      </c>
      <c r="F11" s="10">
        <v>1</v>
      </c>
      <c r="G11" s="1" t="str">
        <f t="shared" si="0"/>
        <v>10\基于Web的高校教师工作量智能核算系统的设计与实现\软件开发\王超杰</v>
      </c>
    </row>
    <row r="12" ht="16" spans="1:7">
      <c r="A12" s="7">
        <v>11</v>
      </c>
      <c r="B12" s="7" t="s">
        <v>6</v>
      </c>
      <c r="C12" s="8" t="s">
        <v>28</v>
      </c>
      <c r="D12" s="8" t="s">
        <v>29</v>
      </c>
      <c r="E12" s="9" t="s">
        <v>9</v>
      </c>
      <c r="F12" s="10">
        <v>1</v>
      </c>
      <c r="G12" s="1" t="str">
        <f t="shared" si="0"/>
        <v>11\基于Web的高校教师培训智能推荐系统的设计与实现\软件开发\王超杰</v>
      </c>
    </row>
    <row r="13" ht="16" spans="1:7">
      <c r="A13" s="7">
        <v>12</v>
      </c>
      <c r="B13" s="7" t="s">
        <v>6</v>
      </c>
      <c r="C13" s="8" t="s">
        <v>30</v>
      </c>
      <c r="D13" s="8" t="s">
        <v>31</v>
      </c>
      <c r="E13" s="9" t="s">
        <v>9</v>
      </c>
      <c r="F13" s="10">
        <v>1</v>
      </c>
      <c r="G13" s="1" t="str">
        <f t="shared" si="0"/>
        <v>12\基于微信小程序的校园外卖智能推荐系统的设计与实现\软件开发\王超杰</v>
      </c>
    </row>
    <row r="14" ht="16" spans="1:7">
      <c r="A14" s="7">
        <v>13</v>
      </c>
      <c r="B14" s="7" t="s">
        <v>6</v>
      </c>
      <c r="C14" s="8" t="s">
        <v>32</v>
      </c>
      <c r="D14" s="8" t="s">
        <v>33</v>
      </c>
      <c r="E14" s="9" t="s">
        <v>9</v>
      </c>
      <c r="F14" s="10">
        <v>1</v>
      </c>
      <c r="G14" s="1" t="str">
        <f t="shared" si="0"/>
        <v>13\基于Web的企业费用报销智能审批系统的设计与实现\软件开发\王超杰</v>
      </c>
    </row>
    <row r="15" ht="16" spans="1:7">
      <c r="A15" s="7">
        <v>14</v>
      </c>
      <c r="B15" s="7" t="s">
        <v>6</v>
      </c>
      <c r="C15" s="11" t="s">
        <v>34</v>
      </c>
      <c r="D15" s="8" t="s">
        <v>35</v>
      </c>
      <c r="E15" s="9" t="s">
        <v>9</v>
      </c>
      <c r="F15" s="10">
        <v>1</v>
      </c>
      <c r="G15" s="1" t="str">
        <f t="shared" si="0"/>
        <v>14\基于Web的高校智能排考系统的设计与实现\软件开发\王超杰</v>
      </c>
    </row>
    <row r="16" ht="16" spans="1:7">
      <c r="A16" s="7">
        <v>15</v>
      </c>
      <c r="B16" s="7" t="s">
        <v>6</v>
      </c>
      <c r="C16" s="8" t="s">
        <v>36</v>
      </c>
      <c r="D16" s="8" t="s">
        <v>37</v>
      </c>
      <c r="E16" s="9" t="s">
        <v>9</v>
      </c>
      <c r="F16" s="10">
        <v>1</v>
      </c>
      <c r="G16" s="1" t="str">
        <f t="shared" si="0"/>
        <v>15\基于Web的大学生画像智能分析系统的设计与实现\软件开发\王超杰</v>
      </c>
    </row>
    <row r="17" ht="16" spans="1:7">
      <c r="A17" s="7">
        <v>16</v>
      </c>
      <c r="B17" s="7" t="s">
        <v>38</v>
      </c>
      <c r="C17" s="8" t="s">
        <v>39</v>
      </c>
      <c r="D17" s="8" t="s">
        <v>40</v>
      </c>
      <c r="E17" s="9" t="s">
        <v>9</v>
      </c>
      <c r="F17" s="10">
        <v>1</v>
      </c>
      <c r="G17" s="1" t="str">
        <f t="shared" si="0"/>
        <v>16\基于Spring Boot的模拟贵金属资产管理平台设计与实现\软件开发\刘昭希</v>
      </c>
    </row>
    <row r="18" ht="16" spans="1:7">
      <c r="A18" s="7">
        <v>17</v>
      </c>
      <c r="B18" s="7" t="s">
        <v>38</v>
      </c>
      <c r="C18" s="8" t="s">
        <v>41</v>
      </c>
      <c r="D18" s="8" t="s">
        <v>42</v>
      </c>
      <c r="E18" s="9" t="s">
        <v>9</v>
      </c>
      <c r="F18" s="10">
        <v>1</v>
      </c>
      <c r="G18" s="1" t="str">
        <f t="shared" si="0"/>
        <v>17\基于Vue的宠物领养平台设计与实现\软件开发\刘昭希</v>
      </c>
    </row>
    <row r="19" ht="16" spans="1:7">
      <c r="A19" s="7">
        <v>18</v>
      </c>
      <c r="B19" s="7" t="s">
        <v>38</v>
      </c>
      <c r="C19" s="8" t="s">
        <v>43</v>
      </c>
      <c r="D19" s="8" t="s">
        <v>44</v>
      </c>
      <c r="E19" s="9" t="s">
        <v>9</v>
      </c>
      <c r="F19" s="10">
        <v>1</v>
      </c>
      <c r="G19" s="1" t="str">
        <f t="shared" si="0"/>
        <v>18\基于Spring Boot与Vue的咖啡点单系统设计与实现\软件开发\刘昭希</v>
      </c>
    </row>
    <row r="20" ht="16" spans="1:7">
      <c r="A20" s="7">
        <v>19</v>
      </c>
      <c r="B20" s="7" t="s">
        <v>38</v>
      </c>
      <c r="C20" s="8" t="s">
        <v>45</v>
      </c>
      <c r="D20" s="8" t="s">
        <v>46</v>
      </c>
      <c r="E20" s="9" t="s">
        <v>9</v>
      </c>
      <c r="F20" s="10">
        <v>1</v>
      </c>
      <c r="G20" s="1" t="str">
        <f t="shared" si="0"/>
        <v>19\基于Vue的家具在线选购平台设计与实现\软件开发\刘昭希</v>
      </c>
    </row>
    <row r="21" ht="16" spans="1:7">
      <c r="A21" s="7">
        <v>20</v>
      </c>
      <c r="B21" s="7" t="s">
        <v>38</v>
      </c>
      <c r="C21" s="8" t="s">
        <v>47</v>
      </c>
      <c r="D21" s="8" t="s">
        <v>48</v>
      </c>
      <c r="E21" s="9" t="s">
        <v>9</v>
      </c>
      <c r="F21" s="10">
        <v>1</v>
      </c>
      <c r="G21" s="1" t="str">
        <f t="shared" si="0"/>
        <v>20\基于Spring Boot的家装灵感分享平台设计与实现\软件开发\刘昭希</v>
      </c>
    </row>
    <row r="22" ht="16" spans="1:7">
      <c r="A22" s="7">
        <v>21</v>
      </c>
      <c r="B22" s="7" t="s">
        <v>38</v>
      </c>
      <c r="C22" s="8" t="s">
        <v>49</v>
      </c>
      <c r="D22" s="8" t="s">
        <v>50</v>
      </c>
      <c r="E22" s="9" t="s">
        <v>9</v>
      </c>
      <c r="F22" s="10">
        <v>1</v>
      </c>
      <c r="G22" s="1" t="str">
        <f t="shared" si="0"/>
        <v>21\基于Vue的健身打卡与运动管理系统设计与实现\软件开发\刘昭希</v>
      </c>
    </row>
    <row r="23" ht="16" spans="1:7">
      <c r="A23" s="7">
        <v>22</v>
      </c>
      <c r="B23" s="7" t="s">
        <v>38</v>
      </c>
      <c r="C23" s="8" t="s">
        <v>51</v>
      </c>
      <c r="D23" s="8" t="s">
        <v>52</v>
      </c>
      <c r="E23" s="9" t="s">
        <v>9</v>
      </c>
      <c r="F23" s="10">
        <v>1</v>
      </c>
      <c r="G23" s="1" t="str">
        <f t="shared" si="0"/>
        <v>22\基于Spring Boot的校园二手交易平台设计与实现\软件开发\刘昭希</v>
      </c>
    </row>
    <row r="24" ht="16" spans="1:7">
      <c r="A24" s="7">
        <v>23</v>
      </c>
      <c r="B24" s="7" t="s">
        <v>38</v>
      </c>
      <c r="C24" s="8" t="s">
        <v>53</v>
      </c>
      <c r="D24" s="8" t="s">
        <v>54</v>
      </c>
      <c r="E24" s="9" t="s">
        <v>9</v>
      </c>
      <c r="F24" s="10">
        <v>1</v>
      </c>
      <c r="G24" s="1" t="str">
        <f t="shared" si="0"/>
        <v>23\基于Spring Boot与Vue的在线影院购票系统设计与实现\软件开发\刘昭希</v>
      </c>
    </row>
    <row r="25" ht="16" spans="1:7">
      <c r="A25" s="7">
        <v>24</v>
      </c>
      <c r="B25" s="7" t="s">
        <v>38</v>
      </c>
      <c r="C25" s="8" t="s">
        <v>55</v>
      </c>
      <c r="D25" s="8" t="s">
        <v>56</v>
      </c>
      <c r="E25" s="9" t="s">
        <v>9</v>
      </c>
      <c r="F25" s="10">
        <v>1</v>
      </c>
      <c r="G25" s="1" t="str">
        <f t="shared" si="0"/>
        <v>24\基于Vue的图书借阅管理系统设计与实现\软件开发\刘昭希</v>
      </c>
    </row>
    <row r="26" ht="16" spans="1:7">
      <c r="A26" s="7">
        <v>25</v>
      </c>
      <c r="B26" s="7" t="s">
        <v>38</v>
      </c>
      <c r="C26" s="8" t="s">
        <v>57</v>
      </c>
      <c r="D26" s="8" t="s">
        <v>58</v>
      </c>
      <c r="E26" s="9" t="s">
        <v>9</v>
      </c>
      <c r="F26" s="10">
        <v>1</v>
      </c>
      <c r="G26" s="1" t="str">
        <f t="shared" si="0"/>
        <v>25\基于Spring Boot的学生成绩管理系统设计与实现\软件开发\刘昭希</v>
      </c>
    </row>
    <row r="27" ht="16" spans="1:7">
      <c r="A27" s="7">
        <v>26</v>
      </c>
      <c r="B27" s="7" t="s">
        <v>38</v>
      </c>
      <c r="C27" s="8" t="s">
        <v>59</v>
      </c>
      <c r="D27" s="8" t="s">
        <v>60</v>
      </c>
      <c r="E27" s="9" t="s">
        <v>9</v>
      </c>
      <c r="F27" s="10">
        <v>1</v>
      </c>
      <c r="G27" s="1" t="str">
        <f t="shared" si="0"/>
        <v>26\基于Vue的个人记账系统设计与实现\软件开发\刘昭希</v>
      </c>
    </row>
    <row r="28" ht="16" spans="1:7">
      <c r="A28" s="7">
        <v>27</v>
      </c>
      <c r="B28" s="7" t="s">
        <v>38</v>
      </c>
      <c r="C28" s="8" t="s">
        <v>61</v>
      </c>
      <c r="D28" s="8" t="s">
        <v>62</v>
      </c>
      <c r="E28" s="9" t="s">
        <v>9</v>
      </c>
      <c r="F28" s="10">
        <v>1</v>
      </c>
      <c r="G28" s="1" t="str">
        <f t="shared" si="0"/>
        <v>27\基于Spring Boot的在线考试系统设计与实现\软件开发\刘昭希</v>
      </c>
    </row>
    <row r="29" ht="16" spans="1:7">
      <c r="A29" s="7">
        <v>28</v>
      </c>
      <c r="B29" s="7" t="s">
        <v>38</v>
      </c>
      <c r="C29" s="8" t="s">
        <v>63</v>
      </c>
      <c r="D29" s="8" t="s">
        <v>64</v>
      </c>
      <c r="E29" s="9" t="s">
        <v>9</v>
      </c>
      <c r="F29" s="10">
        <v>1</v>
      </c>
      <c r="G29" s="1" t="str">
        <f t="shared" si="0"/>
        <v>28\基于Vue的旅游攻略分享平台设计与实现\软件开发\刘昭希</v>
      </c>
    </row>
    <row r="30" ht="16" spans="1:7">
      <c r="A30" s="7">
        <v>29</v>
      </c>
      <c r="B30" s="7" t="s">
        <v>38</v>
      </c>
      <c r="C30" s="8" t="s">
        <v>65</v>
      </c>
      <c r="D30" s="8" t="s">
        <v>66</v>
      </c>
      <c r="E30" s="9" t="s">
        <v>9</v>
      </c>
      <c r="F30" s="10">
        <v>1</v>
      </c>
      <c r="G30" s="1" t="str">
        <f t="shared" si="0"/>
        <v>29\基于Spring Boot与Vue的宿舍报修管理系统设计与实现\软件开发\刘昭希</v>
      </c>
    </row>
    <row r="31" ht="16" spans="1:7">
      <c r="A31" s="7">
        <v>30</v>
      </c>
      <c r="B31" s="7" t="s">
        <v>38</v>
      </c>
      <c r="C31" s="8" t="s">
        <v>67</v>
      </c>
      <c r="D31" s="8" t="s">
        <v>68</v>
      </c>
      <c r="E31" s="9" t="s">
        <v>9</v>
      </c>
      <c r="F31" s="10">
        <v>1</v>
      </c>
      <c r="G31" s="1" t="str">
        <f t="shared" si="0"/>
        <v>30\基于Vue的音乐播放器与推荐系统设计与实现\软件开发\刘昭希</v>
      </c>
    </row>
    <row r="32" ht="16" spans="1:7">
      <c r="A32" s="7">
        <v>31</v>
      </c>
      <c r="B32" s="7" t="s">
        <v>69</v>
      </c>
      <c r="C32" s="8" t="s">
        <v>70</v>
      </c>
      <c r="D32" s="8" t="s">
        <v>71</v>
      </c>
      <c r="E32" s="9" t="s">
        <v>9</v>
      </c>
      <c r="F32" s="10">
        <v>1</v>
      </c>
      <c r="G32" s="1" t="str">
        <f t="shared" si="0"/>
        <v>31\基于SpringBoot的汽车维修保养预约管理系统的设计与实现\软件开发\安彦霖</v>
      </c>
    </row>
    <row r="33" ht="16" spans="1:7">
      <c r="A33" s="7">
        <v>32</v>
      </c>
      <c r="B33" s="7" t="s">
        <v>69</v>
      </c>
      <c r="C33" s="8" t="s">
        <v>72</v>
      </c>
      <c r="D33" s="8" t="s">
        <v>73</v>
      </c>
      <c r="E33" s="9" t="s">
        <v>9</v>
      </c>
      <c r="F33" s="10">
        <v>1</v>
      </c>
      <c r="G33" s="1" t="str">
        <f t="shared" si="0"/>
        <v>32\基于Vue的在线视频点播系统的设计与实现\软件开发\安彦霖</v>
      </c>
    </row>
    <row r="34" ht="16" spans="1:7">
      <c r="A34" s="7">
        <v>33</v>
      </c>
      <c r="B34" s="7" t="s">
        <v>69</v>
      </c>
      <c r="C34" s="8" t="s">
        <v>74</v>
      </c>
      <c r="D34" s="8" t="s">
        <v>75</v>
      </c>
      <c r="E34" s="9" t="s">
        <v>9</v>
      </c>
      <c r="F34" s="10">
        <v>1</v>
      </c>
      <c r="G34" s="1" t="str">
        <f t="shared" si="0"/>
        <v>33\基于微信小程序的美容美发预约管理系统的设计与实现\软件开发\安彦霖</v>
      </c>
    </row>
    <row r="35" ht="16" spans="1:7">
      <c r="A35" s="7">
        <v>34</v>
      </c>
      <c r="B35" s="7" t="s">
        <v>69</v>
      </c>
      <c r="C35" s="8" t="s">
        <v>76</v>
      </c>
      <c r="D35" s="8" t="s">
        <v>77</v>
      </c>
      <c r="E35" s="9" t="s">
        <v>9</v>
      </c>
      <c r="F35" s="10">
        <v>1</v>
      </c>
      <c r="G35" s="1" t="str">
        <f t="shared" ref="G35:G66" si="1">A35&amp;"\"&amp;C35&amp;"\"&amp;E35&amp;"\"&amp;B35</f>
        <v>34\基于SpringBoot的网上书店系统的设计与实现\软件开发\安彦霖</v>
      </c>
    </row>
    <row r="36" ht="16" spans="1:7">
      <c r="A36" s="7">
        <v>35</v>
      </c>
      <c r="B36" s="7" t="s">
        <v>69</v>
      </c>
      <c r="C36" s="8" t="s">
        <v>78</v>
      </c>
      <c r="D36" s="8" t="s">
        <v>79</v>
      </c>
      <c r="E36" s="9" t="s">
        <v>9</v>
      </c>
      <c r="F36" s="10">
        <v>1</v>
      </c>
      <c r="G36" s="1" t="str">
        <f t="shared" si="1"/>
        <v>35\基于SpringBoot与Vue的技术博客分享系统的设计与实现\软件开发\安彦霖</v>
      </c>
    </row>
    <row r="37" ht="16" spans="1:7">
      <c r="A37" s="7">
        <v>36</v>
      </c>
      <c r="B37" s="7" t="s">
        <v>69</v>
      </c>
      <c r="C37" s="8" t="s">
        <v>80</v>
      </c>
      <c r="D37" s="8" t="s">
        <v>81</v>
      </c>
      <c r="E37" s="9" t="s">
        <v>9</v>
      </c>
      <c r="F37" s="10">
        <v>1</v>
      </c>
      <c r="G37" s="1" t="str">
        <f t="shared" si="1"/>
        <v>36\基于SpringBoot的在线投票评选系统的设计与实现\软件开发\安彦霖</v>
      </c>
    </row>
    <row r="38" ht="16" spans="1:7">
      <c r="A38" s="7">
        <v>37</v>
      </c>
      <c r="B38" s="7" t="s">
        <v>69</v>
      </c>
      <c r="C38" s="8" t="s">
        <v>82</v>
      </c>
      <c r="D38" s="8" t="s">
        <v>83</v>
      </c>
      <c r="E38" s="9" t="s">
        <v>9</v>
      </c>
      <c r="F38" s="10">
        <v>1</v>
      </c>
      <c r="G38" s="1" t="str">
        <f t="shared" si="1"/>
        <v>37\基于Vue的校园一卡通消费管理系统的设计与实现\软件开发\安彦霖</v>
      </c>
    </row>
    <row r="39" ht="16" spans="1:7">
      <c r="A39" s="7">
        <v>38</v>
      </c>
      <c r="B39" s="7" t="s">
        <v>69</v>
      </c>
      <c r="C39" s="8" t="s">
        <v>84</v>
      </c>
      <c r="D39" s="8" t="s">
        <v>85</v>
      </c>
      <c r="E39" s="9" t="s">
        <v>9</v>
      </c>
      <c r="F39" s="10">
        <v>1</v>
      </c>
      <c r="G39" s="1" t="str">
        <f t="shared" si="1"/>
        <v>38\基于SpringBoot的户外运动装备租赁系统的设计与实现\软件开发\安彦霖</v>
      </c>
    </row>
    <row r="40" ht="16" spans="1:7">
      <c r="A40" s="7">
        <v>39</v>
      </c>
      <c r="B40" s="7" t="s">
        <v>69</v>
      </c>
      <c r="C40" s="8" t="s">
        <v>86</v>
      </c>
      <c r="D40" s="8" t="s">
        <v>87</v>
      </c>
      <c r="E40" s="9" t="s">
        <v>9</v>
      </c>
      <c r="F40" s="10">
        <v>1</v>
      </c>
      <c r="G40" s="1" t="str">
        <f t="shared" si="1"/>
        <v>39\基于微信小程序的婚礼策划服务平台的设计与实现\软件开发\安彦霖</v>
      </c>
    </row>
    <row r="41" ht="16" spans="1:7">
      <c r="A41" s="7">
        <v>40</v>
      </c>
      <c r="B41" s="7" t="s">
        <v>69</v>
      </c>
      <c r="C41" s="8" t="s">
        <v>88</v>
      </c>
      <c r="D41" s="8" t="s">
        <v>89</v>
      </c>
      <c r="E41" s="9" t="s">
        <v>9</v>
      </c>
      <c r="F41" s="10">
        <v>1</v>
      </c>
      <c r="G41" s="1" t="str">
        <f t="shared" si="1"/>
        <v>40\基于SpringBoot的社区药店药品销售管理系统的设计与实现\软件开发\安彦霖</v>
      </c>
    </row>
    <row r="42" ht="16" spans="1:7">
      <c r="A42" s="7">
        <v>41</v>
      </c>
      <c r="B42" s="7" t="s">
        <v>69</v>
      </c>
      <c r="C42" s="8" t="s">
        <v>90</v>
      </c>
      <c r="D42" s="8" t="s">
        <v>91</v>
      </c>
      <c r="E42" s="9" t="s">
        <v>9</v>
      </c>
      <c r="F42" s="10">
        <v>1</v>
      </c>
      <c r="G42" s="1" t="str">
        <f t="shared" si="1"/>
        <v>41\基于Vue的在线小说阅读平台的设计与实现\软件开发\安彦霖</v>
      </c>
    </row>
    <row r="43" ht="16" spans="1:7">
      <c r="A43" s="7">
        <v>42</v>
      </c>
      <c r="B43" s="7" t="s">
        <v>69</v>
      </c>
      <c r="C43" s="8" t="s">
        <v>92</v>
      </c>
      <c r="D43" s="8" t="s">
        <v>93</v>
      </c>
      <c r="E43" s="9" t="s">
        <v>9</v>
      </c>
      <c r="F43" s="10">
        <v>1</v>
      </c>
      <c r="G43" s="1" t="str">
        <f t="shared" si="1"/>
        <v>42\基于SpringBoot的高校排课管理系统的设计与实现\软件开发\安彦霖</v>
      </c>
    </row>
    <row r="44" ht="16" spans="1:7">
      <c r="A44" s="7">
        <v>43</v>
      </c>
      <c r="B44" s="7" t="s">
        <v>69</v>
      </c>
      <c r="C44" s="8" t="s">
        <v>94</v>
      </c>
      <c r="D44" s="8" t="s">
        <v>95</v>
      </c>
      <c r="E44" s="9" t="s">
        <v>9</v>
      </c>
      <c r="F44" s="10">
        <v>1</v>
      </c>
      <c r="G44" s="1" t="str">
        <f t="shared" si="1"/>
        <v>43\基于微信小程序的共享充电宝租赁系统的设计与实现\软件开发\安彦霖</v>
      </c>
    </row>
    <row r="45" ht="16" spans="1:7">
      <c r="A45" s="7">
        <v>44</v>
      </c>
      <c r="B45" s="7" t="s">
        <v>69</v>
      </c>
      <c r="C45" s="8" t="s">
        <v>96</v>
      </c>
      <c r="D45" s="8" t="s">
        <v>97</v>
      </c>
      <c r="E45" s="9" t="s">
        <v>9</v>
      </c>
      <c r="F45" s="10">
        <v>1</v>
      </c>
      <c r="G45" s="1" t="str">
        <f t="shared" si="1"/>
        <v>44\基于SpringBoot的学术会议论文投稿与评审管理系统的设计与实现\软件开发\安彦霖</v>
      </c>
    </row>
    <row r="46" ht="16" spans="1:7">
      <c r="A46" s="7">
        <v>45</v>
      </c>
      <c r="B46" s="7" t="s">
        <v>69</v>
      </c>
      <c r="C46" s="8" t="s">
        <v>98</v>
      </c>
      <c r="D46" s="8" t="s">
        <v>99</v>
      </c>
      <c r="E46" s="9" t="s">
        <v>9</v>
      </c>
      <c r="F46" s="10">
        <v>1</v>
      </c>
      <c r="G46" s="1" t="str">
        <f t="shared" si="1"/>
        <v>45\基于微信小程序的露营地预约管理系统的设计与实现\软件开发\安彦霖</v>
      </c>
    </row>
    <row r="47" ht="16" spans="1:7">
      <c r="A47" s="7">
        <v>46</v>
      </c>
      <c r="B47" s="7" t="s">
        <v>100</v>
      </c>
      <c r="C47" s="8" t="s">
        <v>101</v>
      </c>
      <c r="D47" s="8" t="s">
        <v>102</v>
      </c>
      <c r="E47" s="9" t="s">
        <v>9</v>
      </c>
      <c r="F47" s="10">
        <v>1</v>
      </c>
      <c r="G47" s="1" t="str">
        <f t="shared" si="1"/>
        <v>46\社区公共设施问题上报与整改闭环平台的设计与实现\软件开发\杨双双</v>
      </c>
    </row>
    <row r="48" ht="16" spans="1:7">
      <c r="A48" s="7">
        <v>47</v>
      </c>
      <c r="B48" s="7" t="s">
        <v>100</v>
      </c>
      <c r="C48" s="8" t="s">
        <v>103</v>
      </c>
      <c r="D48" s="8" t="s">
        <v>104</v>
      </c>
      <c r="E48" s="9" t="s">
        <v>9</v>
      </c>
      <c r="F48" s="10">
        <v>1</v>
      </c>
      <c r="G48" s="1" t="str">
        <f t="shared" si="1"/>
        <v>47\小微企业合同履约风险监测平台的设计与实现\软件开发\杨双双</v>
      </c>
    </row>
    <row r="49" ht="16" spans="1:7">
      <c r="A49" s="7">
        <v>48</v>
      </c>
      <c r="B49" s="7" t="s">
        <v>100</v>
      </c>
      <c r="C49" s="11" t="s">
        <v>105</v>
      </c>
      <c r="D49" s="8" t="s">
        <v>106</v>
      </c>
      <c r="E49" s="9" t="s">
        <v>9</v>
      </c>
      <c r="F49" s="10">
        <v>1</v>
      </c>
      <c r="G49" s="1" t="str">
        <f t="shared" si="1"/>
        <v>48\医疗废物分类交接与溯源预警平台的设计与实现\软件开发\杨双双</v>
      </c>
    </row>
    <row r="50" ht="16" spans="1:7">
      <c r="A50" s="7">
        <v>49</v>
      </c>
      <c r="B50" s="7" t="s">
        <v>100</v>
      </c>
      <c r="C50" s="11" t="s">
        <v>107</v>
      </c>
      <c r="D50" s="8" t="s">
        <v>108</v>
      </c>
      <c r="E50" s="9" t="s">
        <v>9</v>
      </c>
      <c r="F50" s="10">
        <v>1</v>
      </c>
      <c r="G50" s="1" t="str">
        <f t="shared" si="1"/>
        <v>49\家用电器售后服务工单管理平台的设计与实现\软件开发\杨双双</v>
      </c>
    </row>
    <row r="51" ht="16" spans="1:7">
      <c r="A51" s="7">
        <v>50</v>
      </c>
      <c r="B51" s="7" t="s">
        <v>100</v>
      </c>
      <c r="C51" s="11" t="s">
        <v>109</v>
      </c>
      <c r="D51" s="8" t="s">
        <v>110</v>
      </c>
      <c r="E51" s="9" t="s">
        <v>9</v>
      </c>
      <c r="F51" s="10">
        <v>1</v>
      </c>
      <c r="G51" s="1" t="str">
        <f t="shared" si="1"/>
        <v>50\旧衣物公益回收与循环流向管理平台的设计与实现\软件开发\杨双双</v>
      </c>
    </row>
    <row r="52" ht="16" spans="1:7">
      <c r="A52" s="7">
        <v>51</v>
      </c>
      <c r="B52" s="7" t="s">
        <v>100</v>
      </c>
      <c r="C52" s="11" t="s">
        <v>111</v>
      </c>
      <c r="D52" s="8" t="s">
        <v>112</v>
      </c>
      <c r="E52" s="9" t="s">
        <v>9</v>
      </c>
      <c r="F52" s="10">
        <v>1</v>
      </c>
      <c r="G52" s="1" t="str">
        <f t="shared" si="1"/>
        <v>51\高校校园文印订单与取件服务系统的设计与实现\软件开发\杨双双</v>
      </c>
    </row>
    <row r="53" ht="16" spans="1:7">
      <c r="A53" s="7">
        <v>52</v>
      </c>
      <c r="B53" s="7" t="s">
        <v>100</v>
      </c>
      <c r="C53" s="11" t="s">
        <v>113</v>
      </c>
      <c r="D53" s="12" t="s">
        <v>114</v>
      </c>
      <c r="E53" s="9" t="s">
        <v>9</v>
      </c>
      <c r="F53" s="10">
        <v>1</v>
      </c>
      <c r="G53" s="1" t="str">
        <f t="shared" si="1"/>
        <v>52\新就业形态劳动者驿站服务与权益保障平台的设计与实现\软件开发\杨双双</v>
      </c>
    </row>
    <row r="54" ht="16" spans="1:7">
      <c r="A54" s="7">
        <v>53</v>
      </c>
      <c r="B54" s="7" t="s">
        <v>100</v>
      </c>
      <c r="C54" s="8" t="s">
        <v>115</v>
      </c>
      <c r="D54" s="8" t="s">
        <v>116</v>
      </c>
      <c r="E54" s="9" t="s">
        <v>9</v>
      </c>
      <c r="F54" s="10">
        <v>1</v>
      </c>
      <c r="G54" s="1" t="str">
        <f t="shared" si="1"/>
        <v>53\企业数字资产管理与授权运营平台的设计与实现\软件开发\杨双双</v>
      </c>
    </row>
    <row r="55" ht="16" spans="1:7">
      <c r="A55" s="7">
        <v>54</v>
      </c>
      <c r="B55" s="7" t="s">
        <v>100</v>
      </c>
      <c r="C55" s="8" t="s">
        <v>117</v>
      </c>
      <c r="D55" s="8" t="s">
        <v>118</v>
      </c>
      <c r="E55" s="9" t="s">
        <v>9</v>
      </c>
      <c r="F55" s="10">
        <v>1</v>
      </c>
      <c r="G55" s="1" t="str">
        <f t="shared" si="1"/>
        <v>54\面向连锁零售企业的库存协同管理系统的设计与实现\软件开发\杨双双</v>
      </c>
    </row>
    <row r="56" ht="16" spans="1:7">
      <c r="A56" s="7">
        <v>55</v>
      </c>
      <c r="B56" s="7" t="s">
        <v>100</v>
      </c>
      <c r="C56" s="8" t="s">
        <v>119</v>
      </c>
      <c r="D56" s="8" t="s">
        <v>120</v>
      </c>
      <c r="E56" s="9" t="s">
        <v>9</v>
      </c>
      <c r="F56" s="10">
        <v>1</v>
      </c>
      <c r="G56" s="1" t="str">
        <f t="shared" si="1"/>
        <v>55\婴幼儿玩具租赁与安全管理系统的设计与实现\软件开发\杨双双</v>
      </c>
    </row>
    <row r="57" ht="16" spans="1:7">
      <c r="A57" s="7">
        <v>56</v>
      </c>
      <c r="B57" s="7" t="s">
        <v>100</v>
      </c>
      <c r="C57" s="8" t="s">
        <v>121</v>
      </c>
      <c r="D57" s="8" t="s">
        <v>122</v>
      </c>
      <c r="E57" s="9" t="s">
        <v>9</v>
      </c>
      <c r="F57" s="10">
        <v>1</v>
      </c>
      <c r="G57" s="1" t="str">
        <f t="shared" si="1"/>
        <v>56\中小学校园餐食材批次追溯与异常处置系统的设计与实现\软件开发\杨双双</v>
      </c>
    </row>
    <row r="58" ht="16" spans="1:7">
      <c r="A58" s="7">
        <v>57</v>
      </c>
      <c r="B58" s="7" t="s">
        <v>100</v>
      </c>
      <c r="C58" s="8" t="s">
        <v>123</v>
      </c>
      <c r="D58" s="8" t="s">
        <v>124</v>
      </c>
      <c r="E58" s="9" t="s">
        <v>9</v>
      </c>
      <c r="F58" s="10">
        <v>1</v>
      </c>
      <c r="G58" s="1" t="str">
        <f t="shared" si="1"/>
        <v>57\社区老年人数字生活帮办服务管理系统的设计与实现\软件开发\杨双双</v>
      </c>
    </row>
    <row r="59" ht="16" spans="1:7">
      <c r="A59" s="7">
        <v>58</v>
      </c>
      <c r="B59" s="7" t="s">
        <v>100</v>
      </c>
      <c r="C59" s="8" t="s">
        <v>125</v>
      </c>
      <c r="D59" s="8" t="s">
        <v>126</v>
      </c>
      <c r="E59" s="9" t="s">
        <v>9</v>
      </c>
      <c r="F59" s="10">
        <v>1</v>
      </c>
      <c r="G59" s="1" t="str">
        <f t="shared" si="1"/>
        <v>58\机器人实验室实验任务与设备协同管理系统的设计与实现\软件开发\杨双双</v>
      </c>
    </row>
    <row r="60" ht="16" spans="1:7">
      <c r="A60" s="7">
        <v>59</v>
      </c>
      <c r="B60" s="7" t="s">
        <v>100</v>
      </c>
      <c r="C60" s="11" t="s">
        <v>127</v>
      </c>
      <c r="D60" s="8" t="s">
        <v>128</v>
      </c>
      <c r="E60" s="9" t="s">
        <v>9</v>
      </c>
      <c r="F60" s="10">
        <v>1</v>
      </c>
      <c r="G60" s="1" t="str">
        <f t="shared" si="1"/>
        <v>59\中医院中药饮片调剂与代煎流程管理系统的设计与实现\软件开发\杨双双</v>
      </c>
    </row>
    <row r="61" ht="16" spans="1:7">
      <c r="A61" s="7">
        <v>60</v>
      </c>
      <c r="B61" s="7" t="s">
        <v>100</v>
      </c>
      <c r="C61" s="11" t="s">
        <v>129</v>
      </c>
      <c r="D61" s="8" t="s">
        <v>130</v>
      </c>
      <c r="E61" s="9" t="s">
        <v>9</v>
      </c>
      <c r="F61" s="10">
        <v>1</v>
      </c>
      <c r="G61" s="1" t="str">
        <f t="shared" si="1"/>
        <v>60\灾后应急救助物资需求申报与调拨发放系统的设计与实现\软件开发\杨双双</v>
      </c>
    </row>
    <row r="62" ht="16" spans="1:7">
      <c r="A62" s="7">
        <v>61</v>
      </c>
      <c r="B62" s="7" t="s">
        <v>131</v>
      </c>
      <c r="C62" s="8" t="s">
        <v>132</v>
      </c>
      <c r="D62" s="13" t="s">
        <v>133</v>
      </c>
      <c r="E62" s="9" t="s">
        <v>9</v>
      </c>
      <c r="F62" s="10">
        <v>1</v>
      </c>
      <c r="G62" s="1" t="str">
        <f t="shared" si="1"/>
        <v>61\城市AED设备分布查询与急救响应平台的设计与实现\软件开发\仲聪涵</v>
      </c>
    </row>
    <row r="63" ht="16" spans="1:7">
      <c r="A63" s="7">
        <v>62</v>
      </c>
      <c r="B63" s="7" t="s">
        <v>131</v>
      </c>
      <c r="C63" s="8" t="s">
        <v>134</v>
      </c>
      <c r="D63" s="12" t="s">
        <v>135</v>
      </c>
      <c r="E63" s="9" t="s">
        <v>9</v>
      </c>
      <c r="F63" s="10">
        <v>1</v>
      </c>
      <c r="G63" s="1" t="str">
        <f t="shared" si="1"/>
        <v>62\小学生成语积累与趣味答题挑战系统的设计与实现\软件开发\仲聪涵</v>
      </c>
    </row>
    <row r="64" ht="16" spans="1:7">
      <c r="A64" s="7">
        <v>63</v>
      </c>
      <c r="B64" s="7" t="s">
        <v>131</v>
      </c>
      <c r="C64" s="8" t="s">
        <v>136</v>
      </c>
      <c r="D64" s="13" t="s">
        <v>137</v>
      </c>
      <c r="E64" s="9" t="s">
        <v>9</v>
      </c>
      <c r="F64" s="10">
        <v>1</v>
      </c>
      <c r="G64" s="1" t="str">
        <f t="shared" si="1"/>
        <v>63\中小学生安全知识学习管理平台的设计与实现\软件开发\仲聪涵</v>
      </c>
    </row>
    <row r="65" ht="16" spans="1:7">
      <c r="A65" s="7">
        <v>64</v>
      </c>
      <c r="B65" s="7" t="s">
        <v>131</v>
      </c>
      <c r="C65" s="8" t="s">
        <v>138</v>
      </c>
      <c r="D65" s="12" t="s">
        <v>139</v>
      </c>
      <c r="E65" s="9" t="s">
        <v>9</v>
      </c>
      <c r="F65" s="10">
        <v>1</v>
      </c>
      <c r="G65" s="1" t="str">
        <f t="shared" si="1"/>
        <v>64\电梯维护保养与故障报修管理系统的设计与实现\软件开发\仲聪涵</v>
      </c>
    </row>
    <row r="66" ht="16" spans="1:7">
      <c r="A66" s="7">
        <v>65</v>
      </c>
      <c r="B66" s="7" t="s">
        <v>131</v>
      </c>
      <c r="C66" s="8" t="s">
        <v>140</v>
      </c>
      <c r="D66" s="12" t="s">
        <v>141</v>
      </c>
      <c r="E66" s="9" t="s">
        <v>9</v>
      </c>
      <c r="F66" s="10">
        <v>1</v>
      </c>
      <c r="G66" s="1" t="str">
        <f t="shared" si="1"/>
        <v>65\青少年财商教育与家庭理财知识学习平台的设计与实现\软件开发\仲聪涵</v>
      </c>
    </row>
    <row r="67" ht="16" spans="1:7">
      <c r="A67" s="7">
        <v>66</v>
      </c>
      <c r="B67" s="7" t="s">
        <v>131</v>
      </c>
      <c r="C67" s="8" t="s">
        <v>142</v>
      </c>
      <c r="D67" s="12" t="s">
        <v>143</v>
      </c>
      <c r="E67" s="9" t="s">
        <v>9</v>
      </c>
      <c r="F67" s="10">
        <v>1</v>
      </c>
      <c r="G67" s="1" t="str">
        <f t="shared" ref="G67:G98" si="2">A67&amp;"\"&amp;C67&amp;"\"&amp;E67&amp;"\"&amp;B67</f>
        <v>66\中小学英语听说练习与口语测评平台的设计与实现\软件开发\仲聪涵</v>
      </c>
    </row>
    <row r="68" ht="16" spans="1:7">
      <c r="A68" s="7">
        <v>67</v>
      </c>
      <c r="B68" s="7" t="s">
        <v>144</v>
      </c>
      <c r="C68" s="11" t="s">
        <v>145</v>
      </c>
      <c r="D68" s="8" t="s">
        <v>146</v>
      </c>
      <c r="E68" s="9" t="s">
        <v>9</v>
      </c>
      <c r="F68" s="10">
        <v>1</v>
      </c>
      <c r="G68" s="1" t="str">
        <f t="shared" si="2"/>
        <v>67\高校校企合作企业库与实习岗位发布平台的设计与实现\软件开发\赵聘</v>
      </c>
    </row>
    <row r="69" ht="16" spans="1:7">
      <c r="A69" s="7">
        <v>68</v>
      </c>
      <c r="B69" s="7" t="s">
        <v>144</v>
      </c>
      <c r="C69" s="11" t="s">
        <v>147</v>
      </c>
      <c r="D69" s="8" t="s">
        <v>148</v>
      </c>
      <c r="E69" s="9" t="s">
        <v>9</v>
      </c>
      <c r="F69" s="10">
        <v>1</v>
      </c>
      <c r="G69" s="1" t="str">
        <f t="shared" si="2"/>
        <v>68\校外实习申请与过程监管系统的设计与实现\软件开发\赵聘</v>
      </c>
    </row>
    <row r="70" ht="16" spans="1:7">
      <c r="A70" s="7">
        <v>69</v>
      </c>
      <c r="B70" s="7" t="s">
        <v>144</v>
      </c>
      <c r="C70" s="8" t="s">
        <v>149</v>
      </c>
      <c r="D70" s="8" t="s">
        <v>150</v>
      </c>
      <c r="E70" s="9" t="s">
        <v>9</v>
      </c>
      <c r="F70" s="10">
        <v>1</v>
      </c>
      <c r="G70" s="1" t="str">
        <f t="shared" si="2"/>
        <v>69\乡村特色手工艺品展销推广管理平台的设计与实现\软件开发\赵聘</v>
      </c>
    </row>
    <row r="71" ht="16" spans="1:7">
      <c r="A71" s="7">
        <v>70</v>
      </c>
      <c r="B71" s="7" t="s">
        <v>144</v>
      </c>
      <c r="C71" s="8" t="s">
        <v>151</v>
      </c>
      <c r="D71" s="8" t="s">
        <v>152</v>
      </c>
      <c r="E71" s="9" t="s">
        <v>9</v>
      </c>
      <c r="F71" s="10">
        <v>1</v>
      </c>
      <c r="G71" s="1" t="str">
        <f t="shared" si="2"/>
        <v>70\基于Web的小学生作业与学情记录管理系统的设计与实现\软件开发\赵聘</v>
      </c>
    </row>
    <row r="72" ht="16" spans="1:7">
      <c r="A72" s="7">
        <v>71</v>
      </c>
      <c r="B72" s="7" t="s">
        <v>144</v>
      </c>
      <c r="C72" s="11" t="s">
        <v>153</v>
      </c>
      <c r="D72" s="8" t="s">
        <v>154</v>
      </c>
      <c r="E72" s="9" t="s">
        <v>9</v>
      </c>
      <c r="F72" s="10">
        <v>1</v>
      </c>
      <c r="G72" s="1" t="str">
        <f t="shared" si="2"/>
        <v>71\社区读书会运营与书评分享平台的设计与实现\软件开发\赵聘</v>
      </c>
    </row>
    <row r="73" ht="16" spans="1:7">
      <c r="A73" s="7">
        <v>72</v>
      </c>
      <c r="B73" s="7" t="s">
        <v>144</v>
      </c>
      <c r="C73" s="11" t="s">
        <v>155</v>
      </c>
      <c r="D73" s="8" t="s">
        <v>156</v>
      </c>
      <c r="E73" s="9" t="s">
        <v>9</v>
      </c>
      <c r="F73" s="10">
        <v>1</v>
      </c>
      <c r="G73" s="1" t="str">
        <f t="shared" si="2"/>
        <v>72\基于SpringBoot的单元小测与错题管理系统的设计与实现\软件开发\赵聘</v>
      </c>
    </row>
    <row r="74" ht="16" spans="1:7">
      <c r="A74" s="7">
        <v>73</v>
      </c>
      <c r="B74" s="7" t="s">
        <v>144</v>
      </c>
      <c r="C74" s="11" t="s">
        <v>157</v>
      </c>
      <c r="D74" s="8" t="s">
        <v>158</v>
      </c>
      <c r="E74" s="9" t="s">
        <v>9</v>
      </c>
      <c r="F74" s="10">
        <v>1</v>
      </c>
      <c r="G74" s="1" t="str">
        <f t="shared" si="2"/>
        <v>73\高校教材使用反馈与课堂适配跟踪系统的设计与实现\软件开发\赵聘</v>
      </c>
    </row>
    <row r="75" ht="16" spans="1:7">
      <c r="A75" s="7">
        <v>74</v>
      </c>
      <c r="B75" s="7" t="s">
        <v>144</v>
      </c>
      <c r="C75" s="11" t="s">
        <v>159</v>
      </c>
      <c r="D75" s="8" t="s">
        <v>160</v>
      </c>
      <c r="E75" s="9" t="s">
        <v>9</v>
      </c>
      <c r="F75" s="10">
        <v>1</v>
      </c>
      <c r="G75" s="1" t="str">
        <f t="shared" si="2"/>
        <v>74\校园学术报告笔记共享与主题讨论平台的设计与实现\软件开发\赵聘</v>
      </c>
    </row>
    <row r="76" ht="16" spans="1:7">
      <c r="A76" s="7">
        <v>75</v>
      </c>
      <c r="B76" s="7" t="s">
        <v>144</v>
      </c>
      <c r="C76" s="11" t="s">
        <v>161</v>
      </c>
      <c r="D76" s="8" t="s">
        <v>162</v>
      </c>
      <c r="E76" s="9" t="s">
        <v>9</v>
      </c>
      <c r="F76" s="10">
        <v>1</v>
      </c>
      <c r="G76" s="1" t="str">
        <f t="shared" si="2"/>
        <v>75\基于SpringBoot的学生违纪处分系统的设计与实现\软件开发\赵聘</v>
      </c>
    </row>
    <row r="77" ht="16" spans="1:7">
      <c r="A77" s="7">
        <v>76</v>
      </c>
      <c r="B77" s="7" t="s">
        <v>144</v>
      </c>
      <c r="C77" s="11" t="s">
        <v>163</v>
      </c>
      <c r="D77" s="8" t="s">
        <v>164</v>
      </c>
      <c r="E77" s="9" t="s">
        <v>9</v>
      </c>
      <c r="F77" s="10">
        <v>1</v>
      </c>
      <c r="G77" s="1" t="str">
        <f t="shared" si="2"/>
        <v>76\校园问卷调研与信息收集管理平台的设计与实现\软件开发\赵聘</v>
      </c>
    </row>
    <row r="78" ht="16" spans="1:7">
      <c r="A78" s="7">
        <v>77</v>
      </c>
      <c r="B78" s="7" t="s">
        <v>144</v>
      </c>
      <c r="C78" s="11" t="s">
        <v>165</v>
      </c>
      <c r="D78" s="8" t="s">
        <v>166</v>
      </c>
      <c r="E78" s="9" t="s">
        <v>9</v>
      </c>
      <c r="F78" s="10">
        <v>1</v>
      </c>
      <c r="G78" s="1" t="str">
        <f t="shared" si="2"/>
        <v>77\高校毕业生档案材料线上预审管理系统的设计与实现\软件开发\赵聘</v>
      </c>
    </row>
    <row r="79" ht="16" spans="1:7">
      <c r="A79" s="7">
        <v>78</v>
      </c>
      <c r="B79" s="7" t="s">
        <v>144</v>
      </c>
      <c r="C79" s="11" t="s">
        <v>167</v>
      </c>
      <c r="D79" s="8" t="s">
        <v>168</v>
      </c>
      <c r="E79" s="9" t="s">
        <v>9</v>
      </c>
      <c r="F79" s="10">
        <v>1</v>
      </c>
      <c r="G79" s="1" t="str">
        <f t="shared" si="2"/>
        <v>78\基于SpringBoot的课堂互动与随堂练习系统的设计与实现\软件开发\赵聘</v>
      </c>
    </row>
    <row r="80" ht="16" spans="1:7">
      <c r="A80" s="7">
        <v>79</v>
      </c>
      <c r="B80" s="7" t="s">
        <v>144</v>
      </c>
      <c r="C80" s="11" t="s">
        <v>169</v>
      </c>
      <c r="D80" s="8" t="s">
        <v>170</v>
      </c>
      <c r="E80" s="9" t="s">
        <v>9</v>
      </c>
      <c r="F80" s="10">
        <v>1</v>
      </c>
      <c r="G80" s="1" t="str">
        <f t="shared" si="2"/>
        <v>79\校园公共空间借用与活动审批管理系统的设计与实现\软件开发\赵聘</v>
      </c>
    </row>
    <row r="81" ht="16" spans="1:7">
      <c r="A81" s="7">
        <v>80</v>
      </c>
      <c r="B81" s="7" t="s">
        <v>144</v>
      </c>
      <c r="C81" s="11" t="s">
        <v>171</v>
      </c>
      <c r="D81" s="8" t="s">
        <v>172</v>
      </c>
      <c r="E81" s="9" t="s">
        <v>9</v>
      </c>
      <c r="F81" s="10">
        <v>1</v>
      </c>
      <c r="G81" s="1" t="str">
        <f t="shared" si="2"/>
        <v>80\高校学生社团经费报销申请管理系统的设计与实现\软件开发\赵聘</v>
      </c>
    </row>
    <row r="82" ht="16" spans="1:7">
      <c r="A82" s="7">
        <v>81</v>
      </c>
      <c r="B82" s="7" t="s">
        <v>144</v>
      </c>
      <c r="C82" s="11" t="s">
        <v>173</v>
      </c>
      <c r="D82" s="8" t="s">
        <v>174</v>
      </c>
      <c r="E82" s="9" t="s">
        <v>9</v>
      </c>
      <c r="F82" s="10">
        <v>1</v>
      </c>
      <c r="G82" s="1" t="str">
        <f t="shared" si="2"/>
        <v>81\校园图书馆座位预约管理系统的设计与实现\软件开发\赵聘</v>
      </c>
    </row>
    <row r="83" ht="16" spans="1:7">
      <c r="A83" s="7">
        <v>82</v>
      </c>
      <c r="B83" s="7" t="s">
        <v>175</v>
      </c>
      <c r="C83" s="11" t="s">
        <v>176</v>
      </c>
      <c r="D83" s="14" t="s">
        <v>177</v>
      </c>
      <c r="E83" s="9" t="s">
        <v>9</v>
      </c>
      <c r="F83" s="10">
        <v>1</v>
      </c>
      <c r="G83" s="1" t="str">
        <f t="shared" si="2"/>
        <v>82\智能排课与教室资源调度系统的设计与实现\软件开发\唐健</v>
      </c>
    </row>
    <row r="84" ht="16" spans="1:7">
      <c r="A84" s="7">
        <v>83</v>
      </c>
      <c r="B84" s="7" t="s">
        <v>175</v>
      </c>
      <c r="C84" s="11" t="s">
        <v>178</v>
      </c>
      <c r="D84" s="14" t="s">
        <v>179</v>
      </c>
      <c r="E84" s="9" t="s">
        <v>9</v>
      </c>
      <c r="F84" s="10">
        <v>1</v>
      </c>
      <c r="G84" s="1" t="str">
        <f t="shared" si="2"/>
        <v>83\基于微信小程序的校园二手交易系统的设计与实现\软件开发\唐健</v>
      </c>
    </row>
    <row r="85" ht="16" spans="1:7">
      <c r="A85" s="7">
        <v>84</v>
      </c>
      <c r="B85" s="7" t="s">
        <v>175</v>
      </c>
      <c r="C85" s="11" t="s">
        <v>180</v>
      </c>
      <c r="D85" s="14" t="s">
        <v>181</v>
      </c>
      <c r="E85" s="9" t="s">
        <v>9</v>
      </c>
      <c r="F85" s="10">
        <v>1</v>
      </c>
      <c r="G85" s="1" t="str">
        <f t="shared" si="2"/>
        <v>84\高校新生入学一站式服务平台的设计与实现\软件开发\唐健</v>
      </c>
    </row>
    <row r="86" ht="16" spans="1:7">
      <c r="A86" s="7">
        <v>85</v>
      </c>
      <c r="B86" s="7" t="s">
        <v>175</v>
      </c>
      <c r="C86" s="11" t="s">
        <v>182</v>
      </c>
      <c r="D86" s="14" t="s">
        <v>183</v>
      </c>
      <c r="E86" s="9" t="s">
        <v>9</v>
      </c>
      <c r="F86" s="10">
        <v>1</v>
      </c>
      <c r="G86" s="1" t="str">
        <f t="shared" si="2"/>
        <v>85\健身房管理系统的设计与实现\软件开发\唐健</v>
      </c>
    </row>
    <row r="87" ht="16" spans="1:7">
      <c r="A87" s="7">
        <v>86</v>
      </c>
      <c r="B87" s="7" t="s">
        <v>175</v>
      </c>
      <c r="C87" s="11" t="s">
        <v>184</v>
      </c>
      <c r="D87" s="14" t="s">
        <v>185</v>
      </c>
      <c r="E87" s="9" t="s">
        <v>9</v>
      </c>
      <c r="F87" s="10">
        <v>1</v>
      </c>
      <c r="G87" s="1" t="str">
        <f t="shared" si="2"/>
        <v>86\私厨上门服务预约系统的设计与实现\软件开发\唐健</v>
      </c>
    </row>
    <row r="88" ht="16" spans="1:7">
      <c r="A88" s="7">
        <v>87</v>
      </c>
      <c r="B88" s="7" t="s">
        <v>175</v>
      </c>
      <c r="C88" s="11" t="s">
        <v>186</v>
      </c>
      <c r="D88" s="14" t="s">
        <v>187</v>
      </c>
      <c r="E88" s="9" t="s">
        <v>9</v>
      </c>
      <c r="F88" s="10">
        <v>1</v>
      </c>
      <c r="G88" s="1" t="str">
        <f t="shared" si="2"/>
        <v>87\大学生体质测试管理系统的设计与实现\软件开发\唐健</v>
      </c>
    </row>
    <row r="89" ht="16" spans="1:7">
      <c r="A89" s="7">
        <v>88</v>
      </c>
      <c r="B89" s="7" t="s">
        <v>175</v>
      </c>
      <c r="C89" s="11" t="s">
        <v>188</v>
      </c>
      <c r="D89" s="14" t="s">
        <v>189</v>
      </c>
      <c r="E89" s="9" t="s">
        <v>9</v>
      </c>
      <c r="F89" s="10">
        <v>1</v>
      </c>
      <c r="G89" s="1" t="str">
        <f t="shared" si="2"/>
        <v>88\消防隐患在线举报系统的设计与实现\软件开发\唐健</v>
      </c>
    </row>
    <row r="90" ht="16" spans="1:7">
      <c r="A90" s="7">
        <v>89</v>
      </c>
      <c r="B90" s="7" t="s">
        <v>175</v>
      </c>
      <c r="C90" s="11" t="s">
        <v>190</v>
      </c>
      <c r="D90" s="14" t="s">
        <v>191</v>
      </c>
      <c r="E90" s="9" t="s">
        <v>9</v>
      </c>
      <c r="F90" s="10">
        <v>1</v>
      </c>
      <c r="G90" s="1" t="str">
        <f t="shared" si="2"/>
        <v>89\基于SpringBoot的汽车租赁系统的设计与实现\软件开发\唐健</v>
      </c>
    </row>
    <row r="91" ht="16" spans="1:7">
      <c r="A91" s="7">
        <v>90</v>
      </c>
      <c r="B91" s="7" t="s">
        <v>175</v>
      </c>
      <c r="C91" s="11" t="s">
        <v>192</v>
      </c>
      <c r="D91" s="14" t="s">
        <v>193</v>
      </c>
      <c r="E91" s="9" t="s">
        <v>9</v>
      </c>
      <c r="F91" s="10">
        <v>1</v>
      </c>
      <c r="G91" s="1" t="str">
        <f t="shared" si="2"/>
        <v>90\基于Vue的学生竞赛管理系统的设计与实现\软件开发\唐健</v>
      </c>
    </row>
    <row r="92" ht="16" spans="1:7">
      <c r="A92" s="7">
        <v>91</v>
      </c>
      <c r="B92" s="7" t="s">
        <v>175</v>
      </c>
      <c r="C92" s="11" t="s">
        <v>194</v>
      </c>
      <c r="D92" s="14" t="s">
        <v>195</v>
      </c>
      <c r="E92" s="9" t="s">
        <v>9</v>
      </c>
      <c r="F92" s="10">
        <v>1</v>
      </c>
      <c r="G92" s="1" t="str">
        <f t="shared" si="2"/>
        <v>91\青岛红色文化研学平台的设计与实现\软件开发\唐健</v>
      </c>
    </row>
    <row r="93" ht="16" spans="1:7">
      <c r="A93" s="7">
        <v>92</v>
      </c>
      <c r="B93" s="7" t="s">
        <v>175</v>
      </c>
      <c r="C93" s="11" t="s">
        <v>196</v>
      </c>
      <c r="D93" s="14" t="s">
        <v>197</v>
      </c>
      <c r="E93" s="9" t="s">
        <v>9</v>
      </c>
      <c r="F93" s="10">
        <v>1</v>
      </c>
      <c r="G93" s="1" t="str">
        <f t="shared" si="2"/>
        <v>92\校园周边商家商品推荐系统的设计与实现\软件开发\唐健</v>
      </c>
    </row>
    <row r="94" ht="16" spans="1:7">
      <c r="A94" s="7">
        <v>93</v>
      </c>
      <c r="B94" s="7" t="s">
        <v>175</v>
      </c>
      <c r="C94" s="11" t="s">
        <v>198</v>
      </c>
      <c r="D94" s="14" t="s">
        <v>199</v>
      </c>
      <c r="E94" s="9" t="s">
        <v>9</v>
      </c>
      <c r="F94" s="10">
        <v>1</v>
      </c>
      <c r="G94" s="1" t="str">
        <f t="shared" si="2"/>
        <v>93\自驾游拼团系统的设计与实现\软件开发\唐健</v>
      </c>
    </row>
    <row r="95" ht="16" spans="1:7">
      <c r="A95" s="7">
        <v>94</v>
      </c>
      <c r="B95" s="7" t="s">
        <v>175</v>
      </c>
      <c r="C95" s="11" t="s">
        <v>200</v>
      </c>
      <c r="D95" s="14" t="s">
        <v>201</v>
      </c>
      <c r="E95" s="9" t="s">
        <v>9</v>
      </c>
      <c r="F95" s="10">
        <v>1</v>
      </c>
      <c r="G95" s="1" t="str">
        <f t="shared" si="2"/>
        <v>94\基于微信小程序的校园兼职系统的设计与实现\软件开发\唐健</v>
      </c>
    </row>
    <row r="96" ht="16" spans="1:7">
      <c r="A96" s="7">
        <v>95</v>
      </c>
      <c r="B96" s="7" t="s">
        <v>175</v>
      </c>
      <c r="C96" s="11" t="s">
        <v>202</v>
      </c>
      <c r="D96" s="14" t="s">
        <v>203</v>
      </c>
      <c r="E96" s="9" t="s">
        <v>9</v>
      </c>
      <c r="F96" s="10">
        <v>1</v>
      </c>
      <c r="G96" s="1" t="str">
        <f t="shared" si="2"/>
        <v>95\农产品质量安全检测系统的设计与实现\软件开发\唐健</v>
      </c>
    </row>
    <row r="97" ht="16" spans="1:7">
      <c r="A97" s="7">
        <v>96</v>
      </c>
      <c r="B97" s="7" t="s">
        <v>175</v>
      </c>
      <c r="C97" s="11" t="s">
        <v>204</v>
      </c>
      <c r="D97" s="14" t="s">
        <v>205</v>
      </c>
      <c r="E97" s="9" t="s">
        <v>9</v>
      </c>
      <c r="F97" s="10">
        <v>1</v>
      </c>
      <c r="G97" s="1" t="str">
        <f t="shared" si="2"/>
        <v>96\基于微信小程序的校园反诈宣传与风险提醒系统的设计与实现\软件开发\唐健</v>
      </c>
    </row>
    <row r="98" ht="16" spans="1:7">
      <c r="A98" s="7">
        <v>97</v>
      </c>
      <c r="B98" s="7" t="s">
        <v>206</v>
      </c>
      <c r="C98" s="11" t="s">
        <v>207</v>
      </c>
      <c r="D98" s="15" t="s">
        <v>208</v>
      </c>
      <c r="E98" s="9" t="s">
        <v>9</v>
      </c>
      <c r="F98" s="10">
        <v>1</v>
      </c>
      <c r="G98" s="1" t="str">
        <f t="shared" si="2"/>
        <v>97\社区共享厨房预约与食材采购管理系统设计与实现\软件开发\马金霞</v>
      </c>
    </row>
    <row r="99" ht="16" spans="1:7">
      <c r="A99" s="7">
        <v>98</v>
      </c>
      <c r="B99" s="7" t="s">
        <v>206</v>
      </c>
      <c r="C99" s="11" t="s">
        <v>209</v>
      </c>
      <c r="D99" s="15" t="s">
        <v>210</v>
      </c>
      <c r="E99" s="9" t="s">
        <v>9</v>
      </c>
      <c r="F99" s="10">
        <v>1</v>
      </c>
      <c r="G99" s="1" t="str">
        <f t="shared" ref="G99:G130" si="3">A99&amp;"\"&amp;C99&amp;"\"&amp;E99&amp;"\"&amp;B99</f>
        <v>98\校园快递纸箱回收与绿色积分管理系统设计与实现\软件开发\马金霞</v>
      </c>
    </row>
    <row r="100" ht="16" spans="1:7">
      <c r="A100" s="7">
        <v>99</v>
      </c>
      <c r="B100" s="7" t="s">
        <v>206</v>
      </c>
      <c r="C100" s="11" t="s">
        <v>211</v>
      </c>
      <c r="D100" s="15" t="s">
        <v>212</v>
      </c>
      <c r="E100" s="9" t="s">
        <v>9</v>
      </c>
      <c r="F100" s="10">
        <v>1</v>
      </c>
      <c r="G100" s="1" t="str">
        <f t="shared" si="3"/>
        <v>99\洗车店智能预约与会员积分系统设计与实现\软件开发\马金霞</v>
      </c>
    </row>
    <row r="101" ht="16" spans="1:7">
      <c r="A101" s="7">
        <v>100</v>
      </c>
      <c r="B101" s="7" t="s">
        <v>206</v>
      </c>
      <c r="C101" s="11" t="s">
        <v>213</v>
      </c>
      <c r="D101" s="15" t="s">
        <v>214</v>
      </c>
      <c r="E101" s="9" t="s">
        <v>9</v>
      </c>
      <c r="F101" s="10">
        <v>1</v>
      </c>
      <c r="G101" s="1" t="str">
        <f t="shared" si="3"/>
        <v>100\理发店预约调度与会员画像分析系统设计与实现\软件开发\马金霞</v>
      </c>
    </row>
    <row r="102" ht="16" spans="1:7">
      <c r="A102" s="7">
        <v>101</v>
      </c>
      <c r="B102" s="7" t="s">
        <v>206</v>
      </c>
      <c r="C102" s="11" t="s">
        <v>215</v>
      </c>
      <c r="D102" s="15" t="s">
        <v>216</v>
      </c>
      <c r="E102" s="9" t="s">
        <v>9</v>
      </c>
      <c r="F102" s="10">
        <v>1</v>
      </c>
      <c r="G102" s="1" t="str">
        <f t="shared" si="3"/>
        <v>101\婚庆公司项目全流程管理与资源调度系统设计与实现\软件开发\马金霞</v>
      </c>
    </row>
    <row r="103" ht="16" spans="1:7">
      <c r="A103" s="7">
        <v>102</v>
      </c>
      <c r="B103" s="7" t="s">
        <v>206</v>
      </c>
      <c r="C103" s="11" t="s">
        <v>217</v>
      </c>
      <c r="D103" s="15" t="s">
        <v>218</v>
      </c>
      <c r="E103" s="9" t="s">
        <v>9</v>
      </c>
      <c r="F103" s="10">
        <v>1</v>
      </c>
      <c r="G103" s="1" t="str">
        <f t="shared" si="3"/>
        <v>102\舞蹈培训机构学员成长与课程推荐系统设计与实现\软件开发\马金霞</v>
      </c>
    </row>
    <row r="104" ht="16" spans="1:7">
      <c r="A104" s="7">
        <v>103</v>
      </c>
      <c r="B104" s="7" t="s">
        <v>206</v>
      </c>
      <c r="C104" s="11" t="s">
        <v>219</v>
      </c>
      <c r="D104" s="15" t="s">
        <v>220</v>
      </c>
      <c r="E104" s="9" t="s">
        <v>9</v>
      </c>
      <c r="F104" s="10">
        <v>1</v>
      </c>
      <c r="G104" s="1" t="str">
        <f t="shared" si="3"/>
        <v>103\药店进销存与处方药审核管理系统设计与实现\软件开发\马金霞</v>
      </c>
    </row>
    <row r="105" ht="16" spans="1:7">
      <c r="A105" s="7">
        <v>104</v>
      </c>
      <c r="B105" s="7" t="s">
        <v>206</v>
      </c>
      <c r="C105" s="11" t="s">
        <v>221</v>
      </c>
      <c r="D105" s="15" t="s">
        <v>222</v>
      </c>
      <c r="E105" s="9" t="s">
        <v>9</v>
      </c>
      <c r="F105" s="10">
        <v>1</v>
      </c>
      <c r="G105" s="1" t="str">
        <f t="shared" si="3"/>
        <v>104\打印店订单智能调度与文件管理系统设计与实现\软件开发\马金霞</v>
      </c>
    </row>
    <row r="106" ht="16" spans="1:7">
      <c r="A106" s="7">
        <v>105</v>
      </c>
      <c r="B106" s="7" t="s">
        <v>206</v>
      </c>
      <c r="C106" s="11" t="s">
        <v>223</v>
      </c>
      <c r="D106" s="15" t="s">
        <v>224</v>
      </c>
      <c r="E106" s="9" t="s">
        <v>9</v>
      </c>
      <c r="F106" s="10">
        <v>1</v>
      </c>
      <c r="G106" s="1" t="str">
        <f t="shared" si="3"/>
        <v>105\幼儿园智能接送与安全考勤系统设计与实现\软件开发\马金霞</v>
      </c>
    </row>
    <row r="107" ht="16" spans="1:7">
      <c r="A107" s="7">
        <v>106</v>
      </c>
      <c r="B107" s="7" t="s">
        <v>206</v>
      </c>
      <c r="C107" s="11" t="s">
        <v>225</v>
      </c>
      <c r="D107" s="15" t="s">
        <v>226</v>
      </c>
      <c r="E107" s="9" t="s">
        <v>9</v>
      </c>
      <c r="F107" s="10">
        <v>1</v>
      </c>
      <c r="G107" s="1" t="str">
        <f t="shared" si="3"/>
        <v>106\奶茶店智能点单与会员营销系统设计与实现\软件开发\马金霞</v>
      </c>
    </row>
    <row r="108" ht="16" spans="1:7">
      <c r="A108" s="7">
        <v>107</v>
      </c>
      <c r="B108" s="7" t="s">
        <v>206</v>
      </c>
      <c r="C108" s="11" t="s">
        <v>227</v>
      </c>
      <c r="D108" s="15" t="s">
        <v>228</v>
      </c>
      <c r="E108" s="9" t="s">
        <v>9</v>
      </c>
      <c r="F108" s="10">
        <v>1</v>
      </c>
      <c r="G108" s="1" t="str">
        <f t="shared" si="3"/>
        <v>107\书店库存与销售数据分析系统设计与实现\软件开发\马金霞</v>
      </c>
    </row>
    <row r="109" ht="16" spans="1:7">
      <c r="A109" s="7">
        <v>108</v>
      </c>
      <c r="B109" s="7" t="s">
        <v>206</v>
      </c>
      <c r="C109" s="11" t="s">
        <v>229</v>
      </c>
      <c r="D109" s="15" t="s">
        <v>230</v>
      </c>
      <c r="E109" s="9" t="s">
        <v>9</v>
      </c>
      <c r="F109" s="10">
        <v>1</v>
      </c>
      <c r="G109" s="1" t="str">
        <f t="shared" si="3"/>
        <v>108\乐器租赁与销售全周期管理系统设计与实现\软件开发\马金霞</v>
      </c>
    </row>
    <row r="110" ht="16" spans="1:7">
      <c r="A110" s="7">
        <v>109</v>
      </c>
      <c r="B110" s="7" t="s">
        <v>206</v>
      </c>
      <c r="C110" s="11" t="s">
        <v>231</v>
      </c>
      <c r="D110" s="15" t="s">
        <v>232</v>
      </c>
      <c r="E110" s="9" t="s">
        <v>9</v>
      </c>
      <c r="F110" s="10">
        <v>1</v>
      </c>
      <c r="G110" s="1" t="str">
        <f t="shared" si="3"/>
        <v>109\咖啡馆点单与会员社交化营销系统设计与实现\软件开发\马金霞</v>
      </c>
    </row>
    <row r="111" ht="16" spans="1:7">
      <c r="A111" s="7">
        <v>110</v>
      </c>
      <c r="B111" s="7" t="s">
        <v>206</v>
      </c>
      <c r="C111" s="11" t="s">
        <v>233</v>
      </c>
      <c r="D111" s="15" t="s">
        <v>234</v>
      </c>
      <c r="E111" s="9" t="s">
        <v>9</v>
      </c>
      <c r="F111" s="10">
        <v>1</v>
      </c>
      <c r="G111" s="1" t="str">
        <f t="shared" si="3"/>
        <v>110\装修公司客户关系与项目进度管理系统设计与实现\软件开发\马金霞</v>
      </c>
    </row>
    <row r="112" ht="16" spans="1:7">
      <c r="A112" s="7">
        <v>111</v>
      </c>
      <c r="B112" s="7" t="s">
        <v>206</v>
      </c>
      <c r="C112" s="11" t="s">
        <v>235</v>
      </c>
      <c r="D112" s="15" t="s">
        <v>236</v>
      </c>
      <c r="E112" s="9" t="s">
        <v>9</v>
      </c>
      <c r="F112" s="10">
        <v>1</v>
      </c>
      <c r="G112" s="1" t="str">
        <f t="shared" si="3"/>
        <v>111\宠物美容店预约与宠物健康档案管理系统设计与实现\软件开发\马金霞</v>
      </c>
    </row>
    <row r="113" ht="16" spans="1:7">
      <c r="A113" s="7">
        <v>112</v>
      </c>
      <c r="B113" s="7" t="s">
        <v>237</v>
      </c>
      <c r="C113" s="8" t="s">
        <v>238</v>
      </c>
      <c r="D113" s="15" t="s">
        <v>239</v>
      </c>
      <c r="E113" s="9" t="s">
        <v>9</v>
      </c>
      <c r="F113" s="10">
        <v>1</v>
      </c>
      <c r="G113" s="1" t="str">
        <f t="shared" si="3"/>
        <v>112\产教融合实习实训与学分互认管理平台设计与实现\软件开发\杨浩</v>
      </c>
    </row>
    <row r="114" ht="16" spans="1:7">
      <c r="A114" s="7">
        <v>113</v>
      </c>
      <c r="B114" s="7" t="s">
        <v>237</v>
      </c>
      <c r="C114" s="8" t="s">
        <v>240</v>
      </c>
      <c r="D114" s="15" t="s">
        <v>241</v>
      </c>
      <c r="E114" s="9" t="s">
        <v>9</v>
      </c>
      <c r="F114" s="10">
        <v>1</v>
      </c>
      <c r="G114" s="1" t="str">
        <f t="shared" si="3"/>
        <v>113\生成式AI应用上线评审与变更管理平台设计与实现\软件开发\杨浩</v>
      </c>
    </row>
    <row r="115" ht="16" spans="1:7">
      <c r="A115" s="7">
        <v>114</v>
      </c>
      <c r="B115" s="7" t="s">
        <v>237</v>
      </c>
      <c r="C115" s="8" t="s">
        <v>242</v>
      </c>
      <c r="D115" s="15" t="s">
        <v>243</v>
      </c>
      <c r="E115" s="9" t="s">
        <v>9</v>
      </c>
      <c r="F115" s="10">
        <v>1</v>
      </c>
      <c r="G115" s="1" t="str">
        <f t="shared" si="3"/>
        <v>114\智能会议纪要与待办跟进管理系统设计与实现\软件开发\杨浩</v>
      </c>
    </row>
    <row r="116" ht="16" spans="1:7">
      <c r="A116" s="7">
        <v>115</v>
      </c>
      <c r="B116" s="7" t="s">
        <v>237</v>
      </c>
      <c r="C116" s="8" t="s">
        <v>244</v>
      </c>
      <c r="D116" s="15" t="s">
        <v>245</v>
      </c>
      <c r="E116" s="9" t="s">
        <v>9</v>
      </c>
      <c r="F116" s="10">
        <v>1</v>
      </c>
      <c r="G116" s="1" t="str">
        <f t="shared" si="3"/>
        <v>115\工业机器人产线保养与故障维修工单管理平台设计与实现\软件开发\杨浩</v>
      </c>
    </row>
    <row r="117" ht="16" spans="1:7">
      <c r="A117" s="7">
        <v>116</v>
      </c>
      <c r="B117" s="7" t="s">
        <v>237</v>
      </c>
      <c r="C117" s="8" t="s">
        <v>246</v>
      </c>
      <c r="D117" s="15" t="s">
        <v>247</v>
      </c>
      <c r="E117" s="9" t="s">
        <v>9</v>
      </c>
      <c r="F117" s="10">
        <v>1</v>
      </c>
      <c r="G117" s="1" t="str">
        <f t="shared" si="3"/>
        <v>116\无人值守自助门店运营管理平台设计与实现\软件开发\杨浩</v>
      </c>
    </row>
    <row r="118" ht="16" spans="1:7">
      <c r="A118" s="7">
        <v>117</v>
      </c>
      <c r="B118" s="7" t="s">
        <v>237</v>
      </c>
      <c r="C118" s="8" t="s">
        <v>248</v>
      </c>
      <c r="D118" s="15" t="s">
        <v>249</v>
      </c>
      <c r="E118" s="9" t="s">
        <v>9</v>
      </c>
      <c r="F118" s="10">
        <v>1</v>
      </c>
      <c r="G118" s="1" t="str">
        <f t="shared" si="3"/>
        <v>117\商用服务机器人多站点部署运维管理平台设计与实现\软件开发\杨浩</v>
      </c>
    </row>
    <row r="119" ht="16" spans="1:7">
      <c r="A119" s="7">
        <v>118</v>
      </c>
      <c r="B119" s="7" t="s">
        <v>237</v>
      </c>
      <c r="C119" s="8" t="s">
        <v>250</v>
      </c>
      <c r="D119" s="15" t="s">
        <v>251</v>
      </c>
      <c r="E119" s="9" t="s">
        <v>9</v>
      </c>
      <c r="F119" s="10">
        <v>1</v>
      </c>
      <c r="G119" s="1" t="str">
        <f t="shared" si="3"/>
        <v>118\协作机器人租赁运营与计费管理平台设计与实现\软件开发\杨浩</v>
      </c>
    </row>
    <row r="120" ht="16" spans="1:7">
      <c r="A120" s="7">
        <v>119</v>
      </c>
      <c r="B120" s="7" t="s">
        <v>252</v>
      </c>
      <c r="C120" s="8" t="s">
        <v>253</v>
      </c>
      <c r="D120" s="8" t="s">
        <v>254</v>
      </c>
      <c r="E120" s="9" t="s">
        <v>9</v>
      </c>
      <c r="F120" s="10">
        <v>1</v>
      </c>
      <c r="G120" s="1" t="str">
        <f t="shared" si="3"/>
        <v>119\校园宣讲会预约与简历投递跟踪系统的设计与实现\软件开发\楚连瑞</v>
      </c>
    </row>
    <row r="121" ht="16" spans="1:7">
      <c r="A121" s="7">
        <v>120</v>
      </c>
      <c r="B121" s="7" t="s">
        <v>252</v>
      </c>
      <c r="C121" s="8" t="s">
        <v>255</v>
      </c>
      <c r="D121" s="8" t="s">
        <v>256</v>
      </c>
      <c r="E121" s="9" t="s">
        <v>9</v>
      </c>
      <c r="F121" s="10">
        <v>1</v>
      </c>
      <c r="G121" s="1" t="str">
        <f t="shared" si="3"/>
        <v>120\古代服饰纹样数据库与搭配展示系统的设计与实现\软件开发\楚连瑞</v>
      </c>
    </row>
    <row r="122" ht="16" spans="1:7">
      <c r="A122" s="7">
        <v>121</v>
      </c>
      <c r="B122" s="7" t="s">
        <v>252</v>
      </c>
      <c r="C122" s="8" t="s">
        <v>257</v>
      </c>
      <c r="D122" s="8" t="s">
        <v>258</v>
      </c>
      <c r="E122" s="9" t="s">
        <v>9</v>
      </c>
      <c r="F122" s="10">
        <v>1</v>
      </c>
      <c r="G122" s="1" t="str">
        <f t="shared" si="3"/>
        <v>121\校园音乐节摊位与节目审核系统的设计与实现\软件开发\楚连瑞</v>
      </c>
    </row>
    <row r="123" ht="16" spans="1:7">
      <c r="A123" s="7">
        <v>122</v>
      </c>
      <c r="B123" s="7" t="s">
        <v>252</v>
      </c>
      <c r="C123" s="8" t="s">
        <v>259</v>
      </c>
      <c r="D123" s="8" t="s">
        <v>260</v>
      </c>
      <c r="E123" s="9" t="s">
        <v>9</v>
      </c>
      <c r="F123" s="10">
        <v>1</v>
      </c>
      <c r="G123" s="1" t="str">
        <f t="shared" si="3"/>
        <v>122\校园戏剧节票务与排练场地系统的设计与实现\软件开发\楚连瑞</v>
      </c>
    </row>
    <row r="124" ht="16" spans="1:7">
      <c r="A124" s="7">
        <v>123</v>
      </c>
      <c r="B124" s="7" t="s">
        <v>252</v>
      </c>
      <c r="C124" s="8" t="s">
        <v>261</v>
      </c>
      <c r="D124" s="8" t="s">
        <v>262</v>
      </c>
      <c r="E124" s="9" t="s">
        <v>9</v>
      </c>
      <c r="F124" s="10">
        <v>1</v>
      </c>
      <c r="G124" s="1" t="str">
        <f t="shared" si="3"/>
        <v>123\校园歌手大赛投票与评审系统的设计与实现\软件开发\楚连瑞</v>
      </c>
    </row>
    <row r="125" ht="16" spans="1:7">
      <c r="A125" s="7">
        <v>124</v>
      </c>
      <c r="B125" s="7" t="s">
        <v>252</v>
      </c>
      <c r="C125" s="8" t="s">
        <v>263</v>
      </c>
      <c r="D125" s="8" t="s">
        <v>264</v>
      </c>
      <c r="E125" s="9" t="s">
        <v>9</v>
      </c>
      <c r="F125" s="10">
        <v>1</v>
      </c>
      <c r="G125" s="1" t="str">
        <f t="shared" si="3"/>
        <v>124\高校实验室安全管理系统的设计与实现\软件开发\楚连瑞</v>
      </c>
    </row>
    <row r="126" ht="16" spans="1:7">
      <c r="A126" s="7">
        <v>125</v>
      </c>
      <c r="B126" s="7" t="s">
        <v>252</v>
      </c>
      <c r="C126" s="8" t="s">
        <v>265</v>
      </c>
      <c r="D126" s="8" t="s">
        <v>266</v>
      </c>
      <c r="E126" s="9" t="s">
        <v>9</v>
      </c>
      <c r="F126" s="10">
        <v>1</v>
      </c>
      <c r="G126" s="1" t="str">
        <f t="shared" si="3"/>
        <v>125\高校实验报告查重与批改系统的设计与实现\软件开发\楚连瑞</v>
      </c>
    </row>
    <row r="127" ht="16" spans="1:7">
      <c r="A127" s="7">
        <v>126</v>
      </c>
      <c r="B127" s="7" t="s">
        <v>252</v>
      </c>
      <c r="C127" s="8" t="s">
        <v>267</v>
      </c>
      <c r="D127" s="8" t="s">
        <v>268</v>
      </c>
      <c r="E127" s="9" t="s">
        <v>9</v>
      </c>
      <c r="F127" s="10">
        <v>1</v>
      </c>
      <c r="G127" s="1" t="str">
        <f t="shared" si="3"/>
        <v>126\高校微专业报名与学分认定系统的设计与实现\软件开发\楚连瑞</v>
      </c>
    </row>
    <row r="128" ht="16" spans="1:7">
      <c r="A128" s="7">
        <v>127</v>
      </c>
      <c r="B128" s="7" t="s">
        <v>252</v>
      </c>
      <c r="C128" s="8" t="s">
        <v>269</v>
      </c>
      <c r="D128" s="8" t="s">
        <v>270</v>
      </c>
      <c r="E128" s="9" t="s">
        <v>9</v>
      </c>
      <c r="F128" s="10">
        <v>1</v>
      </c>
      <c r="G128" s="1" t="str">
        <f t="shared" si="3"/>
        <v>127\大学生职业兴趣测评与岗位画像匹配系统的设计与实现\软件开发\楚连瑞</v>
      </c>
    </row>
    <row r="129" ht="16" spans="1:7">
      <c r="A129" s="7">
        <v>128</v>
      </c>
      <c r="B129" s="7" t="s">
        <v>252</v>
      </c>
      <c r="C129" s="8" t="s">
        <v>271</v>
      </c>
      <c r="D129" s="8" t="s">
        <v>272</v>
      </c>
      <c r="E129" s="9" t="s">
        <v>9</v>
      </c>
      <c r="F129" s="10">
        <v>1</v>
      </c>
      <c r="G129" s="1" t="str">
        <f t="shared" si="3"/>
        <v>128\社区宠物粪便清理志愿督导系统的设计与实现\软件开发\楚连瑞</v>
      </c>
    </row>
    <row r="130" ht="16" spans="1:7">
      <c r="A130" s="7">
        <v>129</v>
      </c>
      <c r="B130" s="7" t="s">
        <v>252</v>
      </c>
      <c r="C130" s="8" t="s">
        <v>273</v>
      </c>
      <c r="D130" s="8" t="s">
        <v>274</v>
      </c>
      <c r="E130" s="9" t="s">
        <v>9</v>
      </c>
      <c r="F130" s="10">
        <v>1</v>
      </c>
      <c r="G130" s="1" t="str">
        <f t="shared" si="3"/>
        <v>129\社区儿童课后托管报名与安全签到系统的设计与实现\软件开发\楚连瑞</v>
      </c>
    </row>
    <row r="131" ht="16" spans="1:7">
      <c r="A131" s="7">
        <v>130</v>
      </c>
      <c r="B131" s="7" t="s">
        <v>252</v>
      </c>
      <c r="C131" s="8" t="s">
        <v>275</v>
      </c>
      <c r="D131" s="8" t="s">
        <v>276</v>
      </c>
      <c r="E131" s="9" t="s">
        <v>9</v>
      </c>
      <c r="F131" s="10">
        <v>1</v>
      </c>
      <c r="G131" s="1" t="str">
        <f t="shared" ref="G131:G149" si="4">A131&amp;"\"&amp;C131&amp;"\"&amp;E131&amp;"\"&amp;B131</f>
        <v>130\社区非机动车停放隐患排查系统的设计与实现\软件开发\楚连瑞</v>
      </c>
    </row>
    <row r="132" ht="16" spans="1:7">
      <c r="A132" s="7">
        <v>131</v>
      </c>
      <c r="B132" s="7" t="s">
        <v>252</v>
      </c>
      <c r="C132" s="8" t="s">
        <v>277</v>
      </c>
      <c r="D132" s="8" t="s">
        <v>278</v>
      </c>
      <c r="E132" s="9" t="s">
        <v>9</v>
      </c>
      <c r="F132" s="10">
        <v>1</v>
      </c>
      <c r="G132" s="1" t="str">
        <f t="shared" si="4"/>
        <v>131\社区楼道堆物上报与清理闭环系统的设计与实现\软件开发\楚连瑞</v>
      </c>
    </row>
    <row r="133" ht="16" spans="1:7">
      <c r="A133" s="7">
        <v>132</v>
      </c>
      <c r="B133" s="7" t="s">
        <v>252</v>
      </c>
      <c r="C133" s="8" t="s">
        <v>279</v>
      </c>
      <c r="D133" s="8" t="s">
        <v>280</v>
      </c>
      <c r="E133" s="9" t="s">
        <v>9</v>
      </c>
      <c r="F133" s="10">
        <v>1</v>
      </c>
      <c r="G133" s="1" t="str">
        <f t="shared" si="4"/>
        <v>132\社区停车位共享与违停上报系统的设计与实现\软件开发\楚连瑞</v>
      </c>
    </row>
    <row r="134" ht="16" spans="1:7">
      <c r="A134" s="7">
        <v>133</v>
      </c>
      <c r="B134" s="7" t="s">
        <v>252</v>
      </c>
      <c r="C134" s="11" t="s">
        <v>281</v>
      </c>
      <c r="D134" s="8" t="s">
        <v>282</v>
      </c>
      <c r="E134" s="9" t="s">
        <v>9</v>
      </c>
      <c r="F134" s="10">
        <v>1</v>
      </c>
      <c r="G134" s="1" t="str">
        <f t="shared" si="4"/>
        <v>133\高校主观题批阅系统的设计与实现\软件开发\楚连瑞</v>
      </c>
    </row>
    <row r="135" ht="16" spans="1:7">
      <c r="A135" s="7">
        <v>134</v>
      </c>
      <c r="B135" s="7" t="s">
        <v>283</v>
      </c>
      <c r="C135" s="8" t="s">
        <v>284</v>
      </c>
      <c r="D135" s="8" t="s">
        <v>285</v>
      </c>
      <c r="E135" s="9" t="s">
        <v>9</v>
      </c>
      <c r="F135" s="10">
        <v>1</v>
      </c>
      <c r="G135" s="1" t="str">
        <f t="shared" si="4"/>
        <v>134\中小企业印章与证照借用管理系统的设计与实现\软件开发\张帅</v>
      </c>
    </row>
    <row r="136" ht="16" spans="1:7">
      <c r="A136" s="7">
        <v>135</v>
      </c>
      <c r="B136" s="7" t="s">
        <v>283</v>
      </c>
      <c r="C136" s="8" t="s">
        <v>286</v>
      </c>
      <c r="D136" s="8" t="s">
        <v>287</v>
      </c>
      <c r="E136" s="9" t="s">
        <v>9</v>
      </c>
      <c r="F136" s="10">
        <v>1</v>
      </c>
      <c r="G136" s="1" t="str">
        <f t="shared" si="4"/>
        <v>135\检测机构送检样品流转与报告领取系统的设计与实现\软件开发\张帅</v>
      </c>
    </row>
    <row r="137" ht="16" spans="1:7">
      <c r="A137" s="7">
        <v>136</v>
      </c>
      <c r="B137" s="7" t="s">
        <v>283</v>
      </c>
      <c r="C137" s="8" t="s">
        <v>288</v>
      </c>
      <c r="D137" s="8" t="s">
        <v>289</v>
      </c>
      <c r="E137" s="9" t="s">
        <v>9</v>
      </c>
      <c r="F137" s="10">
        <v>1</v>
      </c>
      <c r="G137" s="1" t="str">
        <f t="shared" si="4"/>
        <v>136\服装修改门店量体与改衣订单管理系统的设计与实现\软件开发\张帅</v>
      </c>
    </row>
    <row r="138" ht="16" spans="1:7">
      <c r="A138" s="7">
        <v>137</v>
      </c>
      <c r="B138" s="7" t="s">
        <v>283</v>
      </c>
      <c r="C138" s="8" t="s">
        <v>290</v>
      </c>
      <c r="D138" s="8" t="s">
        <v>291</v>
      </c>
      <c r="E138" s="9" t="s">
        <v>9</v>
      </c>
      <c r="F138" s="10">
        <v>1</v>
      </c>
      <c r="G138" s="1" t="str">
        <f t="shared" si="4"/>
        <v>137\餐饮门店成品留样与处置台账管理系统的设计与实现\软件开发\张帅</v>
      </c>
    </row>
    <row r="139" ht="16" spans="1:7">
      <c r="A139" s="7">
        <v>138</v>
      </c>
      <c r="B139" s="7" t="s">
        <v>283</v>
      </c>
      <c r="C139" s="8" t="s">
        <v>292</v>
      </c>
      <c r="D139" s="8" t="s">
        <v>293</v>
      </c>
      <c r="E139" s="9" t="s">
        <v>9</v>
      </c>
      <c r="F139" s="10">
        <v>1</v>
      </c>
      <c r="G139" s="1" t="str">
        <f t="shared" si="4"/>
        <v>138\农村灌溉轮次申请与用水登记管理系统的设计与实现\软件开发\张帅</v>
      </c>
    </row>
    <row r="140" ht="16" spans="1:7">
      <c r="A140" s="7">
        <v>139</v>
      </c>
      <c r="B140" s="7" t="s">
        <v>283</v>
      </c>
      <c r="C140" s="8" t="s">
        <v>294</v>
      </c>
      <c r="D140" s="8" t="s">
        <v>295</v>
      </c>
      <c r="E140" s="9" t="s">
        <v>9</v>
      </c>
      <c r="F140" s="10">
        <v>1</v>
      </c>
      <c r="G140" s="1" t="str">
        <f t="shared" si="4"/>
        <v>139\中小企业会议决议与督办事项管理系统的设计与实现\软件开发\张帅</v>
      </c>
    </row>
    <row r="141" ht="16" spans="1:7">
      <c r="A141" s="7">
        <v>140</v>
      </c>
      <c r="B141" s="7" t="s">
        <v>283</v>
      </c>
      <c r="C141" s="8" t="s">
        <v>296</v>
      </c>
      <c r="D141" s="8" t="s">
        <v>297</v>
      </c>
      <c r="E141" s="9" t="s">
        <v>9</v>
      </c>
      <c r="F141" s="10">
        <v>1</v>
      </c>
      <c r="G141" s="1" t="str">
        <f t="shared" si="4"/>
        <v>140\烘焙工作室配方与试制档案管理系统的设计与实现\软件开发\张帅</v>
      </c>
    </row>
    <row r="142" ht="16" spans="1:7">
      <c r="A142" s="7">
        <v>141</v>
      </c>
      <c r="B142" s="7" t="s">
        <v>283</v>
      </c>
      <c r="C142" s="8" t="s">
        <v>298</v>
      </c>
      <c r="D142" s="8" t="s">
        <v>299</v>
      </c>
      <c r="E142" s="9" t="s">
        <v>9</v>
      </c>
      <c r="F142" s="10">
        <v>1</v>
      </c>
      <c r="G142" s="1" t="str">
        <f t="shared" si="4"/>
        <v>141\校园植物标本采集与馆藏管理系统的设计与实现\软件开发\张帅</v>
      </c>
    </row>
    <row r="143" ht="16" spans="1:7">
      <c r="A143" s="7">
        <v>142</v>
      </c>
      <c r="B143" s="7" t="s">
        <v>283</v>
      </c>
      <c r="C143" s="8" t="s">
        <v>300</v>
      </c>
      <c r="D143" s="8" t="s">
        <v>301</v>
      </c>
      <c r="E143" s="9" t="s">
        <v>9</v>
      </c>
      <c r="F143" s="10">
        <v>1</v>
      </c>
      <c r="G143" s="1" t="str">
        <f t="shared" si="4"/>
        <v>142\商用周转箱发放回收与押金台账管理系统的设计与实现\软件开发\张帅</v>
      </c>
    </row>
    <row r="144" ht="16" spans="1:7">
      <c r="A144" s="7">
        <v>143</v>
      </c>
      <c r="B144" s="7" t="s">
        <v>283</v>
      </c>
      <c r="C144" s="8" t="s">
        <v>302</v>
      </c>
      <c r="D144" s="8" t="s">
        <v>303</v>
      </c>
      <c r="E144" s="9" t="s">
        <v>9</v>
      </c>
      <c r="F144" s="10">
        <v>1</v>
      </c>
      <c r="G144" s="1" t="str">
        <f t="shared" si="4"/>
        <v>143\乐器维修服务与维修进度管理系统的设计与实现\软件开发\张帅</v>
      </c>
    </row>
    <row r="145" ht="16" spans="1:7">
      <c r="A145" s="7">
        <v>144</v>
      </c>
      <c r="B145" s="7" t="s">
        <v>283</v>
      </c>
      <c r="C145" s="8" t="s">
        <v>304</v>
      </c>
      <c r="D145" s="8" t="s">
        <v>305</v>
      </c>
      <c r="E145" s="9" t="s">
        <v>9</v>
      </c>
      <c r="F145" s="10">
        <v>1</v>
      </c>
      <c r="G145" s="1" t="str">
        <f t="shared" si="4"/>
        <v>144\企业员工资质证书与到期复审管理系统的设计与实现\软件开发\张帅</v>
      </c>
    </row>
    <row r="146" ht="16" spans="1:7">
      <c r="A146" s="7">
        <v>145</v>
      </c>
      <c r="B146" s="7" t="s">
        <v>283</v>
      </c>
      <c r="C146" s="8" t="s">
        <v>306</v>
      </c>
      <c r="D146" s="8" t="s">
        <v>307</v>
      </c>
      <c r="E146" s="9" t="s">
        <v>9</v>
      </c>
      <c r="F146" s="10">
        <v>1</v>
      </c>
      <c r="G146" s="1" t="str">
        <f t="shared" si="4"/>
        <v>145\青年旅舍行李寄存与领取管理系统的设计与实现\软件开发\张帅</v>
      </c>
    </row>
    <row r="147" ht="16" spans="1:7">
      <c r="A147" s="7">
        <v>146</v>
      </c>
      <c r="B147" s="7" t="s">
        <v>283</v>
      </c>
      <c r="C147" s="8" t="s">
        <v>308</v>
      </c>
      <c r="D147" s="8" t="s">
        <v>309</v>
      </c>
      <c r="E147" s="9" t="s">
        <v>9</v>
      </c>
      <c r="F147" s="10">
        <v>1</v>
      </c>
      <c r="G147" s="1" t="str">
        <f t="shared" si="4"/>
        <v>146\校园演出道具装箱与借还管理系统的设计与实现\软件开发\张帅</v>
      </c>
    </row>
    <row r="148" ht="16" spans="1:7">
      <c r="A148" s="7">
        <v>147</v>
      </c>
      <c r="B148" s="7" t="s">
        <v>283</v>
      </c>
      <c r="C148" s="8" t="s">
        <v>310</v>
      </c>
      <c r="D148" s="8" t="s">
        <v>311</v>
      </c>
      <c r="E148" s="9" t="s">
        <v>9</v>
      </c>
      <c r="F148" s="10">
        <v>1</v>
      </c>
      <c r="G148" s="1" t="str">
        <f t="shared" si="4"/>
        <v>147\社区共享冰箱食品捐赠与领取管理系统的设计与实现\软件开发\张帅</v>
      </c>
    </row>
    <row r="149" ht="16" spans="1:7">
      <c r="A149" s="7">
        <v>148</v>
      </c>
      <c r="B149" s="7" t="s">
        <v>283</v>
      </c>
      <c r="C149" s="8" t="s">
        <v>312</v>
      </c>
      <c r="D149" s="8" t="s">
        <v>313</v>
      </c>
      <c r="E149" s="9" t="s">
        <v>9</v>
      </c>
      <c r="F149" s="10">
        <v>1</v>
      </c>
      <c r="G149" s="1" t="str">
        <f t="shared" si="4"/>
        <v>148\广告制作工作室客户需求与稿件确认系统的设计与实现\软件开发\张帅</v>
      </c>
    </row>
  </sheetData>
  <autoFilter xmlns:etc="http://www.wps.cn/officeDocument/2017/etCustomData" ref="A1:G14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23软工、25软工专升本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李媛</dc:creator>
  <cp:lastModifiedBy>王超杰</cp:lastModifiedBy>
  <dcterms:created xsi:type="dcterms:W3CDTF">2023-05-12T19:15:00Z</dcterms:created>
  <dcterms:modified xsi:type="dcterms:W3CDTF">2026-10-12T16:16:37Z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2052-12.1.28496.28496</vt:lpwstr>
  </property>
  <property fmtid="{D5CDD505-2E9C-101B-9397-08002B2CF9AE}" pid="3" name="ICV">
    <vt:lpwstr>B6D7AB9BA9307F326597CC6ABB2DD5D0_43</vt:lpwstr>
  </property>
  <property fmtid="{D5CDD505-2E9C-101B-9397-08002B2CF9AE}" pid="4" name="CalculationRule">
    <vt:i4>0</vt:i4>
  </property>
</Properties>
</file>